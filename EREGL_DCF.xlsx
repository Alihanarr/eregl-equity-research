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hanar/Desktop/"/>
    </mc:Choice>
  </mc:AlternateContent>
  <xr:revisionPtr revIDLastSave="0" documentId="13_ncr:1_{AFF1DE5F-A73F-AB4C-BC65-DAF15FBC0ACB}" xr6:coauthVersionLast="47" xr6:coauthVersionMax="47" xr10:uidLastSave="{00000000-0000-0000-0000-000000000000}"/>
  <bookViews>
    <workbookView xWindow="4260" yWindow="500" windowWidth="24540" windowHeight="16400" activeTab="5" xr2:uid="{00000000-000D-0000-FFFF-FFFF00000000}"/>
  </bookViews>
  <sheets>
    <sheet name="isyatirim" sheetId="1" r:id="rId1"/>
    <sheet name="Historical" sheetId="3" r:id="rId2"/>
    <sheet name="Projections_TL" sheetId="4" r:id="rId3"/>
    <sheet name="WACC" sheetId="5" r:id="rId4"/>
    <sheet name="DCF" sheetId="6" r:id="rId5"/>
    <sheet name="Sensitivity" sheetId="7" r:id="rId6"/>
    <sheet name="Comp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8" l="1"/>
  <c r="B29" i="8"/>
  <c r="B27" i="8"/>
  <c r="B20" i="8"/>
  <c r="B18" i="8"/>
  <c r="E12" i="8"/>
  <c r="I12" i="8" s="1"/>
  <c r="E6" i="8"/>
  <c r="I6" i="8" s="1"/>
  <c r="E7" i="8"/>
  <c r="I7" i="8" s="1"/>
  <c r="E5" i="8"/>
  <c r="I5" i="8" s="1"/>
  <c r="C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0" i="7"/>
  <c r="D10" i="7"/>
  <c r="E10" i="7"/>
  <c r="F10" i="7"/>
  <c r="B7" i="7"/>
  <c r="B8" i="7"/>
  <c r="B9" i="7"/>
  <c r="B10" i="7"/>
  <c r="B6" i="7"/>
  <c r="B17" i="5"/>
  <c r="B16" i="6"/>
  <c r="B18" i="5"/>
  <c r="B14" i="5"/>
  <c r="B9" i="5"/>
  <c r="G27" i="4"/>
  <c r="G29" i="4"/>
  <c r="G20" i="4"/>
  <c r="G18" i="4"/>
  <c r="G14" i="4"/>
  <c r="G12" i="4"/>
  <c r="G9" i="4"/>
  <c r="G6" i="4"/>
  <c r="B6" i="4" s="1"/>
  <c r="B41" i="3"/>
  <c r="B42" i="3"/>
  <c r="B38" i="3"/>
  <c r="B37" i="3"/>
  <c r="B36" i="3"/>
  <c r="B35" i="3"/>
  <c r="D31" i="3"/>
  <c r="E31" i="3"/>
  <c r="F31" i="3"/>
  <c r="C31" i="3"/>
  <c r="D30" i="3"/>
  <c r="E30" i="3"/>
  <c r="F30" i="3"/>
  <c r="C30" i="3"/>
  <c r="D29" i="3"/>
  <c r="E29" i="3"/>
  <c r="F29" i="3"/>
  <c r="C29" i="3"/>
  <c r="D28" i="3"/>
  <c r="E28" i="3"/>
  <c r="F28" i="3"/>
  <c r="C28" i="3"/>
  <c r="C24" i="3"/>
  <c r="D24" i="3"/>
  <c r="E24" i="3"/>
  <c r="F24" i="3"/>
  <c r="B24" i="3"/>
  <c r="C23" i="3"/>
  <c r="D23" i="3"/>
  <c r="E23" i="3"/>
  <c r="F23" i="3"/>
  <c r="G23" i="3"/>
  <c r="B23" i="3"/>
  <c r="C22" i="3"/>
  <c r="D22" i="3"/>
  <c r="E22" i="3"/>
  <c r="F22" i="3"/>
  <c r="G22" i="3"/>
  <c r="B22" i="3"/>
  <c r="C21" i="3"/>
  <c r="D21" i="3"/>
  <c r="E21" i="3"/>
  <c r="F21" i="3"/>
  <c r="G21" i="3"/>
  <c r="G24" i="3" s="1"/>
  <c r="B21" i="3"/>
  <c r="C18" i="3"/>
  <c r="D18" i="3"/>
  <c r="E18" i="3"/>
  <c r="F18" i="3"/>
  <c r="G18" i="3"/>
  <c r="B18" i="3"/>
  <c r="C17" i="3"/>
  <c r="D17" i="3"/>
  <c r="D19" i="3" s="1"/>
  <c r="E17" i="3"/>
  <c r="F17" i="3"/>
  <c r="G17" i="3"/>
  <c r="B17" i="3"/>
  <c r="C14" i="3"/>
  <c r="D14" i="3"/>
  <c r="E14" i="3"/>
  <c r="F14" i="3"/>
  <c r="G14" i="3"/>
  <c r="G31" i="3" s="1"/>
  <c r="B14" i="3"/>
  <c r="C19" i="3"/>
  <c r="C11" i="3"/>
  <c r="D11" i="3"/>
  <c r="E11" i="3"/>
  <c r="F11" i="3"/>
  <c r="F16" i="3" s="1"/>
  <c r="G11" i="3"/>
  <c r="G16" i="3" s="1"/>
  <c r="B11" i="3"/>
  <c r="C8" i="3"/>
  <c r="D8" i="3"/>
  <c r="E8" i="3"/>
  <c r="F8" i="3"/>
  <c r="G8" i="3"/>
  <c r="B8" i="3"/>
  <c r="C5" i="3"/>
  <c r="D5" i="3"/>
  <c r="E5" i="3"/>
  <c r="F5" i="3"/>
  <c r="F6" i="3" s="1"/>
  <c r="G5" i="3"/>
  <c r="B5" i="3"/>
  <c r="C4" i="3"/>
  <c r="D4" i="3"/>
  <c r="D6" i="3" s="1"/>
  <c r="D9" i="3" s="1"/>
  <c r="E4" i="3"/>
  <c r="E6" i="3" s="1"/>
  <c r="F4" i="3"/>
  <c r="G4" i="3"/>
  <c r="G28" i="3" s="1"/>
  <c r="B4" i="3"/>
  <c r="B6" i="3" s="1"/>
  <c r="H12" i="8" l="1"/>
  <c r="H7" i="8"/>
  <c r="H6" i="8"/>
  <c r="I10" i="8"/>
  <c r="I9" i="8"/>
  <c r="B26" i="8" s="1"/>
  <c r="B28" i="8" s="1"/>
  <c r="B30" i="8" s="1"/>
  <c r="B32" i="8" s="1"/>
  <c r="H5" i="8"/>
  <c r="B19" i="5"/>
  <c r="B18" i="4"/>
  <c r="B27" i="4" s="1"/>
  <c r="B29" i="4"/>
  <c r="B9" i="4"/>
  <c r="B12" i="4"/>
  <c r="B31" i="4"/>
  <c r="C6" i="4"/>
  <c r="B20" i="5"/>
  <c r="B21" i="5"/>
  <c r="G19" i="3"/>
  <c r="F19" i="3"/>
  <c r="E19" i="3"/>
  <c r="B19" i="3"/>
  <c r="E16" i="3"/>
  <c r="C15" i="3"/>
  <c r="D16" i="3"/>
  <c r="C16" i="3"/>
  <c r="B15" i="3"/>
  <c r="G6" i="3"/>
  <c r="G7" i="3" s="1"/>
  <c r="B34" i="3" s="1"/>
  <c r="C6" i="3"/>
  <c r="C9" i="3" s="1"/>
  <c r="B16" i="3"/>
  <c r="F15" i="3"/>
  <c r="E15" i="3"/>
  <c r="D15" i="3"/>
  <c r="B7" i="3"/>
  <c r="B9" i="3"/>
  <c r="F7" i="3"/>
  <c r="F9" i="3"/>
  <c r="E7" i="3"/>
  <c r="E9" i="3"/>
  <c r="D12" i="3"/>
  <c r="D13" i="3" s="1"/>
  <c r="D10" i="3"/>
  <c r="D7" i="3"/>
  <c r="G15" i="3"/>
  <c r="I13" i="8" l="1"/>
  <c r="H10" i="8"/>
  <c r="H9" i="8"/>
  <c r="B17" i="8" s="1"/>
  <c r="B19" i="8" s="1"/>
  <c r="B21" i="8" s="1"/>
  <c r="B23" i="8" s="1"/>
  <c r="B35" i="8" s="1"/>
  <c r="B37" i="8" s="1"/>
  <c r="B23" i="5"/>
  <c r="C9" i="4"/>
  <c r="C12" i="4"/>
  <c r="C31" i="4"/>
  <c r="C18" i="4"/>
  <c r="C27" i="4" s="1"/>
  <c r="D6" i="4"/>
  <c r="C29" i="4"/>
  <c r="B14" i="4"/>
  <c r="C7" i="3"/>
  <c r="G9" i="3"/>
  <c r="B10" i="3"/>
  <c r="B12" i="3"/>
  <c r="B13" i="3" s="1"/>
  <c r="E12" i="3"/>
  <c r="E13" i="3" s="1"/>
  <c r="E10" i="3"/>
  <c r="F12" i="3"/>
  <c r="F13" i="3" s="1"/>
  <c r="F10" i="3"/>
  <c r="C12" i="3"/>
  <c r="C13" i="3" s="1"/>
  <c r="C10" i="3"/>
  <c r="H13" i="8" l="1"/>
  <c r="B24" i="4"/>
  <c r="B20" i="4"/>
  <c r="B21" i="4" s="1"/>
  <c r="B25" i="4"/>
  <c r="B33" i="4" s="1"/>
  <c r="B6" i="6" s="1"/>
  <c r="B15" i="4"/>
  <c r="E6" i="4"/>
  <c r="D31" i="4"/>
  <c r="D9" i="4"/>
  <c r="D12" i="4"/>
  <c r="D29" i="4"/>
  <c r="D18" i="4"/>
  <c r="D27" i="4" s="1"/>
  <c r="C14" i="4"/>
  <c r="F7" i="6"/>
  <c r="B12" i="6" s="1"/>
  <c r="B7" i="6"/>
  <c r="B39" i="4"/>
  <c r="C7" i="6"/>
  <c r="D7" i="6"/>
  <c r="E7" i="6"/>
  <c r="G10" i="3"/>
  <c r="G29" i="3"/>
  <c r="G12" i="3"/>
  <c r="D14" i="4" l="1"/>
  <c r="F6" i="4"/>
  <c r="E29" i="4"/>
  <c r="E31" i="4"/>
  <c r="E9" i="4"/>
  <c r="E12" i="4"/>
  <c r="E18" i="4"/>
  <c r="E27" i="4" s="1"/>
  <c r="C25" i="4"/>
  <c r="C33" i="4" s="1"/>
  <c r="C6" i="6" s="1"/>
  <c r="C8" i="6" s="1"/>
  <c r="C15" i="4"/>
  <c r="C20" i="4"/>
  <c r="C21" i="4" s="1"/>
  <c r="C24" i="4"/>
  <c r="B8" i="6"/>
  <c r="G13" i="3"/>
  <c r="G30" i="3"/>
  <c r="E14" i="4" l="1"/>
  <c r="F29" i="4"/>
  <c r="F31" i="4"/>
  <c r="F9" i="4"/>
  <c r="F18" i="4"/>
  <c r="F27" i="4" s="1"/>
  <c r="F12" i="4"/>
  <c r="D20" i="4"/>
  <c r="D21" i="4" s="1"/>
  <c r="D15" i="4"/>
  <c r="D24" i="4"/>
  <c r="D25" i="4" s="1"/>
  <c r="D33" i="4" s="1"/>
  <c r="D6" i="6" s="1"/>
  <c r="D8" i="6" s="1"/>
  <c r="F14" i="4" l="1"/>
  <c r="E20" i="4"/>
  <c r="E21" i="4" s="1"/>
  <c r="E15" i="4"/>
  <c r="E24" i="4"/>
  <c r="E25" i="4" s="1"/>
  <c r="E33" i="4" s="1"/>
  <c r="E6" i="6" s="1"/>
  <c r="E8" i="6" s="1"/>
  <c r="F24" i="4" l="1"/>
  <c r="F20" i="4"/>
  <c r="F25" i="4"/>
  <c r="F33" i="4" s="1"/>
  <c r="F15" i="4"/>
  <c r="B37" i="4" l="1"/>
  <c r="B40" i="4" s="1"/>
  <c r="F6" i="6"/>
  <c r="F8" i="6" s="1"/>
  <c r="B42" i="4"/>
  <c r="B44" i="4" s="1"/>
  <c r="F21" i="4"/>
  <c r="B45" i="4" l="1"/>
  <c r="B11" i="6" s="1"/>
  <c r="B13" i="6" s="1"/>
  <c r="B15" i="6" s="1"/>
  <c r="B17" i="6" s="1"/>
  <c r="B19" i="6" s="1"/>
  <c r="B21" i="6" s="1"/>
</calcChain>
</file>

<file path=xl/sharedStrings.xml><?xml version="1.0" encoding="utf-8"?>
<sst xmlns="http://schemas.openxmlformats.org/spreadsheetml/2006/main" count="344" uniqueCount="294">
  <si>
    <t>Sanayi şirketlerinde en son açıklanmış yıl sonu rakamları enflasyon düzeltmesiyle son finansal döneme çekilmektedir.</t>
  </si>
  <si>
    <t>2026/3</t>
  </si>
  <si>
    <t>2025/12</t>
  </si>
  <si>
    <t>2025/9</t>
  </si>
  <si>
    <t>2025/6</t>
  </si>
  <si>
    <t>Bilanço</t>
  </si>
  <si>
    <t>Dönen Varlıklar</t>
  </si>
  <si>
    <t>Nakit ve Nakit Benzerleri</t>
  </si>
  <si>
    <t>Finansal Yatırımlar</t>
  </si>
  <si>
    <t>Ticari Alacaklar</t>
  </si>
  <si>
    <t>Finans Sektörü Faaliyetlerinden Alacaklar</t>
  </si>
  <si>
    <t>Diğer Alacaklar</t>
  </si>
  <si>
    <t>Müşteri Sözleşmelerinden Doğan Varlıklar</t>
  </si>
  <si>
    <t>Stoklar</t>
  </si>
  <si>
    <t>Canlı Varlıklar</t>
  </si>
  <si>
    <t>Diğer Dönen Varlıklar</t>
  </si>
  <si>
    <t>(Ara Toplam)</t>
  </si>
  <si>
    <t>Satış Amacıyla Elde Tutulan Duran Varlıklar</t>
  </si>
  <si>
    <t>Duran Varlıklar</t>
  </si>
  <si>
    <t>Özkaynak Yöntemiyle Değerlenen Yatırımlar</t>
  </si>
  <si>
    <t>Yatırım Amaçlı Gayrimenkuller</t>
  </si>
  <si>
    <t>Kullanım Hakkı Varlıkları</t>
  </si>
  <si>
    <t>Maddi Duran Varlıklar</t>
  </si>
  <si>
    <t>Şerefiye</t>
  </si>
  <si>
    <t>Maddi Olmayan Duran Varlıklar</t>
  </si>
  <si>
    <t>Ertelenmiş Vergi Varlığı</t>
  </si>
  <si>
    <t>Diğer Duran Varlıklar</t>
  </si>
  <si>
    <t>TOPLAM VARLIKLAR</t>
  </si>
  <si>
    <t>KAYNAKLAR</t>
  </si>
  <si>
    <t>Kısa Vadeli Yükümlülükler</t>
  </si>
  <si>
    <t>Finansal Borçlar</t>
  </si>
  <si>
    <t>Diğer Finansal Yükümlülükler</t>
  </si>
  <si>
    <t>Ticari Borçlar</t>
  </si>
  <si>
    <t>Diğer Borçlar</t>
  </si>
  <si>
    <t>Müşteri Söz. Doğan Yük.</t>
  </si>
  <si>
    <t>Finans Sektörü Faaliyetlerinden Borçlar</t>
  </si>
  <si>
    <t>Devlet Teşvik ve Yardımları</t>
  </si>
  <si>
    <t>Ertelenmiş Gelirler (Müşteri Söz. Doğan Yük. Dış.Kal.)</t>
  </si>
  <si>
    <t>Dönem Karı Vergi Yükümlülüğü</t>
  </si>
  <si>
    <t>Borç Karşılıkları</t>
  </si>
  <si>
    <t>Diğer Kısa Vadeli Yükümlülükler</t>
  </si>
  <si>
    <t>Satış Amaçlı Elde Tutulan Duran Varlıklara İlişkin Yükümlülükler</t>
  </si>
  <si>
    <t>Uzun Vadeli Yükümlülükler</t>
  </si>
  <si>
    <t>Müşteri Söz.Doğan Yük.</t>
  </si>
  <si>
    <t>Ertelenmiş Gelirler (Müşteri Söz.Doğan Yük. Dış.Kal.)</t>
  </si>
  <si>
    <t>Uzun vadeli karşılıklar</t>
  </si>
  <si>
    <t>Çalışanlara Sağlanan Faydalara İliş.Karş.</t>
  </si>
  <si>
    <t>Ertelenmiş Vergi Yükümlülüğü</t>
  </si>
  <si>
    <t>Diğer Uzun Vadeli Yükümlülükler</t>
  </si>
  <si>
    <t>Özkaynaklar</t>
  </si>
  <si>
    <t>Ana Ortaklığa Ait Özkaynaklar</t>
  </si>
  <si>
    <t>Ödenmiş Sermaye</t>
  </si>
  <si>
    <t>Karşılıklı İştirak Sermayesi Düzeltmesi (-)</t>
  </si>
  <si>
    <t>Hisse Senedi İhraç Primleri</t>
  </si>
  <si>
    <t>Değer Artış Fonları</t>
  </si>
  <si>
    <t>Yabancı Para Çevrim Farkları</t>
  </si>
  <si>
    <t>Kardan Ayrılan Kısıtlanmış Yedekler</t>
  </si>
  <si>
    <t>Geçmiş Yıllar Kar/Zararları</t>
  </si>
  <si>
    <t>Dönem Net Kar/Zararı</t>
  </si>
  <si>
    <t>Diğer Özsermaye Kalemleri</t>
  </si>
  <si>
    <t>Azınlık Payları</t>
  </si>
  <si>
    <t>TOPLAM KAYNAKLAR</t>
  </si>
  <si>
    <t>Gelir Tablosu</t>
  </si>
  <si>
    <t>Sürdürülen Faaliyetler</t>
  </si>
  <si>
    <t>Satış Gelirleri</t>
  </si>
  <si>
    <t>Satışların Maliyeti (-)</t>
  </si>
  <si>
    <t>Ticari Faaliyetlerden Diğer Kar (Zarar)</t>
  </si>
  <si>
    <t>Ticari Faaliyetlerden Brüt Kar (Zarar)</t>
  </si>
  <si>
    <t>Faiz, Ücret, Prim, Komisyon ve Diğer Gelirler</t>
  </si>
  <si>
    <t>Faiz, Ücret, Prim, Komisyon ve Diğer Giderler (-)</t>
  </si>
  <si>
    <t>Finans Sektörü Faaliyetlerinden Diğer Kar (Zarar)</t>
  </si>
  <si>
    <t>Finans Sektörü Faaliyetlerinden Brüt Kar (Zarar)</t>
  </si>
  <si>
    <t>Diğer Gelir ve Giderler</t>
  </si>
  <si>
    <t>BRÜT KAR (ZARAR)</t>
  </si>
  <si>
    <t>Pazarlama, Satış ve Dağıtım Giderleri (-)</t>
  </si>
  <si>
    <t>Genel Yönetim Giderleri (-)</t>
  </si>
  <si>
    <t>Araştırma ve Geliştirme Giderleri (-)</t>
  </si>
  <si>
    <t>Diğer Faaliyet Gelirleri</t>
  </si>
  <si>
    <t>Diğer Faaliyet Giderleri (-)</t>
  </si>
  <si>
    <t>Faaliyet Karı Öncesi Diğer Gelir ve Giderler</t>
  </si>
  <si>
    <t>FAALİYET KARI (ZARARI)</t>
  </si>
  <si>
    <t>Net Faaliyet Kar/Zararı</t>
  </si>
  <si>
    <t>Yatırım Faaliyetlerinden Gelirler</t>
  </si>
  <si>
    <t>Yatırım Faaliyetlerinden Giderler (-)</t>
  </si>
  <si>
    <t>Özkaynak Yöntemiyle Değerlenen Yatırımların Kar/Zararlarındaki Paylar</t>
  </si>
  <si>
    <t>Finansman Gideri Öncesi Faaliyet Karı/Zararı</t>
  </si>
  <si>
    <t>(Esas Faaliyet Dışı) Finansal Gelirler</t>
  </si>
  <si>
    <t>(Esas Faaliyet Dışı) Finansal Giderler (-)</t>
  </si>
  <si>
    <t>Vergi Öncesi Diğer Gelir ve Giderler</t>
  </si>
  <si>
    <t>SÜRDÜRÜLEN FAALİYETLER VERGİ ÖNCESİ KARI (ZARARI)</t>
  </si>
  <si>
    <t>Sürdürülen Faaliyetler Vergi Geliri (Gideri)</t>
  </si>
  <si>
    <t>Dönem Vergi Geliri (Gideri)</t>
  </si>
  <si>
    <t>Ertelenmiş Vergi Geliri (Gideri)</t>
  </si>
  <si>
    <t>Diğer Vergi Geliri (Gideri)</t>
  </si>
  <si>
    <t>SÜRDÜRÜLEN FAALİYETLER DÖNEM KARI/ZARARI</t>
  </si>
  <si>
    <t>DURDURULAN FAALİYETLER</t>
  </si>
  <si>
    <t>Durdurulan Faaliyetler Vergi Sonrası Dönem Karı (Zararı)</t>
  </si>
  <si>
    <t>DÖNEM KARI (ZARARI)</t>
  </si>
  <si>
    <t>Dönem Kar/Zararının Dağılımı</t>
  </si>
  <si>
    <t>Ana Ortaklık Payları</t>
  </si>
  <si>
    <t>Hisse Başına Kazanç</t>
  </si>
  <si>
    <t>Seyreltilmiş Hisse Başına Kazanç</t>
  </si>
  <si>
    <t>Sürdürülen Faaliyetlerden Hisse Başına Kazanç</t>
  </si>
  <si>
    <t>Sürdürülen Faaliyetlerden Seyreltilmiş Hisse Başına Kazanç</t>
  </si>
  <si>
    <t>Dipnot</t>
  </si>
  <si>
    <t>Amortisman Giderleri</t>
  </si>
  <si>
    <t>Kıdem Tazminatı</t>
  </si>
  <si>
    <t>Finansman Giderleri</t>
  </si>
  <si>
    <t>Yurtiçi Satışlar</t>
  </si>
  <si>
    <t>Yurtdışı Satışlar</t>
  </si>
  <si>
    <t>Net Yabancı Para Pozisyonu</t>
  </si>
  <si>
    <t>Parasal net yabancı para varlık/(yükümlülük) pozisyonu</t>
  </si>
  <si>
    <t>Net YPP (Hedge Dahil)</t>
  </si>
  <si>
    <t>Nakit Akım Tablosu</t>
  </si>
  <si>
    <t>İşletme Faaliyetlerinden Kaynaklanan Net Nakit</t>
  </si>
  <si>
    <t>Düzeltme Öncesi Kar</t>
  </si>
  <si>
    <t>Düzeltmeler:</t>
  </si>
  <si>
    <t>Amortisman &amp; İtfa Payları</t>
  </si>
  <si>
    <t>Karşılıklardaki Değişim</t>
  </si>
  <si>
    <t>Diğer Gelir/ Gider</t>
  </si>
  <si>
    <t>İşletme Sermayesinde Değişikler Öncesi Faaliyet Karı (+)</t>
  </si>
  <si>
    <t>İşletme Sermayesindeki Değişiklikler</t>
  </si>
  <si>
    <t>Esas Faaliyet ile İlgili Oluşan Nakit (+)</t>
  </si>
  <si>
    <t>Diğer İşletme Faaliyetlerinden Nakit</t>
  </si>
  <si>
    <t>Sabit Sermaye Yatırımları</t>
  </si>
  <si>
    <t>Diğer Yatırım Faaliyetlerinden Nakit</t>
  </si>
  <si>
    <t>Yatırım Faaliyetlerinden Kaynaklanan Nakit</t>
  </si>
  <si>
    <t>Serbest Nakit Akım</t>
  </si>
  <si>
    <t>Finansal Borçlardaki Değişim</t>
  </si>
  <si>
    <t>Temettü Ödemeleri</t>
  </si>
  <si>
    <t>Sermaye Artırımı</t>
  </si>
  <si>
    <t>Diğer Finansman Faaliyetlerinden Nakit</t>
  </si>
  <si>
    <t>Finansman Faaliyetlerden Kaynaklanan Nakit</t>
  </si>
  <si>
    <t>Yab. Para Çev. Fark. Etk. Önc.Nak.Ve Nak. Benz. Net Artış/Azalış</t>
  </si>
  <si>
    <t>Yab.ı Para Çevrim Fark. Nakit Ve Nakit Benz. Üzerindeki Etkisi</t>
  </si>
  <si>
    <t>Diğer Nakit Girişi/Çıkışı</t>
  </si>
  <si>
    <t>Nakit ve Benzerlerindeki Değişim</t>
  </si>
  <si>
    <t>Diğer Nakit ve Nakit Benzerlerindeki Artış</t>
  </si>
  <si>
    <t>Dönem Başı Nakit Değerler</t>
  </si>
  <si>
    <t>Dönem Sonu Nakit</t>
  </si>
  <si>
    <t>2025/3</t>
  </si>
  <si>
    <t>2024/12</t>
  </si>
  <si>
    <t>2024/9</t>
  </si>
  <si>
    <t>2024/6</t>
  </si>
  <si>
    <t>2024/3</t>
  </si>
  <si>
    <t>2023/12</t>
  </si>
  <si>
    <t>2023/9</t>
  </si>
  <si>
    <t>2023/6</t>
  </si>
  <si>
    <t>2023/3</t>
  </si>
  <si>
    <t>2022/12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</si>
  <si>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</si>
  <si>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</si>
  <si>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</si>
  <si>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</si>
  <si>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</si>
  <si>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</si>
  <si>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</si>
  <si>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</si>
  <si>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2020/9</t>
  </si>
  <si>
    <t>2020/6</t>
  </si>
  <si>
    <t>2020/3</t>
  </si>
  <si>
    <t>EBIT</t>
  </si>
  <si>
    <t>EBITDA</t>
  </si>
  <si>
    <t>EREGL - Historical Financials (TRY, real - inflation adjusted)</t>
  </si>
  <si>
    <t>Source: İş Yatırım, quarterly financials</t>
  </si>
  <si>
    <t>Revenue</t>
  </si>
  <si>
    <t>COGS</t>
  </si>
  <si>
    <t>Gross Profit</t>
  </si>
  <si>
    <t>Gross Margin %</t>
  </si>
  <si>
    <t>Operating Expenses</t>
  </si>
  <si>
    <t>EBIT Margin %</t>
  </si>
  <si>
    <t>D&amp;A</t>
  </si>
  <si>
    <t>EBITDA Margin %</t>
  </si>
  <si>
    <t>CAPEX</t>
  </si>
  <si>
    <t>CAPEX / Revenue %</t>
  </si>
  <si>
    <t>D&amp;A / Revenue %</t>
  </si>
  <si>
    <t>Tax Expense</t>
  </si>
  <si>
    <t>Pre-Tax Income</t>
  </si>
  <si>
    <t>Effective Tax Rate %</t>
  </si>
  <si>
    <t>Short-term Debt</t>
  </si>
  <si>
    <t>Long-term Debt</t>
  </si>
  <si>
    <t>Cash &amp; Equivalents</t>
  </si>
  <si>
    <t>Net Debt</t>
  </si>
  <si>
    <t>Revenue Growth %</t>
  </si>
  <si>
    <t>EBIT Growth %</t>
  </si>
  <si>
    <t>EBITDA Growth %</t>
  </si>
  <si>
    <t>CAPEX Growth %</t>
  </si>
  <si>
    <t>YoY Growth Rates (Real)</t>
  </si>
  <si>
    <t>Multi-Year Averages</t>
  </si>
  <si>
    <t>CAGR Analysis</t>
  </si>
  <si>
    <t>Revenue CAGR (5Y, 2020→2025)</t>
  </si>
  <si>
    <t>Avg Gross Margin (6Y)</t>
  </si>
  <si>
    <t>Avg EBIT Margin (6Y)</t>
  </si>
  <si>
    <t>Avg EBITDA Margin (6Y)</t>
  </si>
  <si>
    <t>Avg CAPEX/Revenue (6Y)</t>
  </si>
  <si>
    <t>Avg D&amp;A / Revenue (6Y)</t>
  </si>
  <si>
    <t>EBITDA CAGR (5Y, 2020→2025)</t>
  </si>
  <si>
    <t>EREGL - 5Y Forward Projections (Real TRY)</t>
  </si>
  <si>
    <t>Base Case</t>
  </si>
  <si>
    <t>2026E</t>
  </si>
  <si>
    <t>2027E</t>
  </si>
  <si>
    <t>2028E</t>
  </si>
  <si>
    <t>2029E</t>
  </si>
  <si>
    <t>2030E</t>
  </si>
  <si>
    <t>2025A</t>
  </si>
  <si>
    <t xml:space="preserve">Revenue   </t>
  </si>
  <si>
    <t>OpEx / Revenue %</t>
  </si>
  <si>
    <t xml:space="preserve">OpEX  </t>
  </si>
  <si>
    <t xml:space="preserve">D&amp;A  </t>
  </si>
  <si>
    <t>Tax Rate %</t>
  </si>
  <si>
    <t>Tax Espense</t>
  </si>
  <si>
    <t>EBIT x (1-tax)</t>
  </si>
  <si>
    <t xml:space="preserve">CAPEX  </t>
  </si>
  <si>
    <t>ΔNWC / Revenue %</t>
  </si>
  <si>
    <t xml:space="preserve">ΔNWC </t>
  </si>
  <si>
    <t>FCFF</t>
  </si>
  <si>
    <t>D&amp;A (add)</t>
  </si>
  <si>
    <t>EREGL - WACC Calculation</t>
  </si>
  <si>
    <t>Real TRY</t>
  </si>
  <si>
    <t>Cost of Equity (CAPM)</t>
  </si>
  <si>
    <t>Risk-free rate (Rf, real)</t>
  </si>
  <si>
    <t xml:space="preserve">Beta </t>
  </si>
  <si>
    <t>Equity Risk Premium (ERP)</t>
  </si>
  <si>
    <t>Country Risk Premium (CRP)</t>
  </si>
  <si>
    <t>Cost of Equity (Re)</t>
  </si>
  <si>
    <t>Cost of Debt</t>
  </si>
  <si>
    <t>Pre-tax cost of debt (Rd)</t>
  </si>
  <si>
    <t>Tax rate (t)</t>
  </si>
  <si>
    <t>After-tax cost of debt</t>
  </si>
  <si>
    <t>Capital Structure</t>
  </si>
  <si>
    <t>Market Cap (Equity, E)</t>
  </si>
  <si>
    <t>Net Debt (D)</t>
  </si>
  <si>
    <t>Total Capital (V)</t>
  </si>
  <si>
    <t>E/V</t>
  </si>
  <si>
    <t>D/V</t>
  </si>
  <si>
    <t>WACC (real TRY)</t>
  </si>
  <si>
    <t>Terminal Value Calculation</t>
  </si>
  <si>
    <t>Terminal Year FCFF (2030E)</t>
  </si>
  <si>
    <t>Terminal Growth Rate (g)</t>
  </si>
  <si>
    <t>WACC</t>
  </si>
  <si>
    <t>TV — Gordon Growth</t>
  </si>
  <si>
    <t>Terminal Year EBITDA (2030E)</t>
  </si>
  <si>
    <t>Exit Multiple (EV/EBITDA)</t>
  </si>
  <si>
    <t>TV — Exit Multiple</t>
  </si>
  <si>
    <t>TV (Average)</t>
  </si>
  <si>
    <t>EREGL - DCF Valuation</t>
  </si>
  <si>
    <t>Period</t>
  </si>
  <si>
    <t>Year</t>
  </si>
  <si>
    <t>Discount Factor</t>
  </si>
  <si>
    <t>PV of FCFF</t>
  </si>
  <si>
    <t>Terminal Value (2030)</t>
  </si>
  <si>
    <t>Discount Factor (Year 5)</t>
  </si>
  <si>
    <t>PV of Terminal Value</t>
  </si>
  <si>
    <t>Enterprise Value (EV)</t>
  </si>
  <si>
    <t>(-) Net Debt</t>
  </si>
  <si>
    <t>Equity Value</t>
  </si>
  <si>
    <t>Shares Outstanding</t>
  </si>
  <si>
    <t>Implied Share Price (TRY)</t>
  </si>
  <si>
    <t>Current Share Price (TRY)</t>
  </si>
  <si>
    <t>Upside / (Downside) %</t>
  </si>
  <si>
    <t>EREGL - DCF Sensitivity Analysis</t>
  </si>
  <si>
    <t>WACC \ g</t>
  </si>
  <si>
    <t>EREGL — Comparable Companies Analysis</t>
  </si>
  <si>
    <t>Company</t>
  </si>
  <si>
    <t>Country</t>
  </si>
  <si>
    <t>Mkt Cap</t>
  </si>
  <si>
    <t>EV</t>
  </si>
  <si>
    <t>EV/EBITDA</t>
  </si>
  <si>
    <t>EV/Sales</t>
  </si>
  <si>
    <t>KRDMD</t>
  </si>
  <si>
    <t>Nucor</t>
  </si>
  <si>
    <t>Arcelor Mittal</t>
  </si>
  <si>
    <t>Peer Median</t>
  </si>
  <si>
    <t>Peer Mean</t>
  </si>
  <si>
    <t>EREGL (target)</t>
  </si>
  <si>
    <t>Premium / (Disc) %</t>
  </si>
  <si>
    <t>TR</t>
  </si>
  <si>
    <t>US</t>
  </si>
  <si>
    <t>LU</t>
  </si>
  <si>
    <t>As of 04 May 2026 |  Mn local currency</t>
  </si>
  <si>
    <t>Implied Valuation</t>
  </si>
  <si>
    <t>Method 1: EV/EBITDA Multiple</t>
  </si>
  <si>
    <t>Peer Median EV/EBITDA</t>
  </si>
  <si>
    <t>× EREGL EBITDA 2025</t>
  </si>
  <si>
    <t>Implied EV</t>
  </si>
  <si>
    <t>Implied Equity</t>
  </si>
  <si>
    <t>Shares Outstanding (mn)</t>
  </si>
  <si>
    <t>Implied Price (TL)</t>
  </si>
  <si>
    <t>Method 2: EV/Sales Multiple</t>
  </si>
  <si>
    <t>Peer Median EV/Sales</t>
  </si>
  <si>
    <t>× EREGL Revenue 2025</t>
  </si>
  <si>
    <t>Final Output</t>
  </si>
  <si>
    <t>Average Implied Price (TL)</t>
  </si>
  <si>
    <t>Current Market Price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</si>
</sst>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.##0;\ \(#.##0\);\ \-"/>
    <numFmt numFmtId="165" formatCode="0.0%"/>
    <numFmt numFmtId="166" formatCode="#.##0;\(#.##0\);\-"/>
    <numFmt numFmtId="167" formatCode="0.000_);\(0.000\)"/>
    <numFmt numFmtId="168" formatCode="0.0000"/>
  </numFmts>
  <fonts count="13">
    <font>
      <sz val="11"/>
      <name val="Calibri"/>
    </font>
    <font>
      <b/>
      <sz val="12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0"/>
      <color rgb="FF000000"/>
      <name val="Arial Unicode MS"/>
      <family val="2"/>
    </font>
    <font>
      <i/>
      <sz val="10"/>
      <color rgb="FF000000"/>
      <name val="Arial Unicode MS"/>
      <family val="2"/>
    </font>
    <font>
      <b/>
      <u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-webkit-standard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6" fillId="0" borderId="0" xfId="0" applyFont="1"/>
    <xf numFmtId="0" fontId="7" fillId="0" borderId="0" xfId="0" applyFont="1"/>
    <xf numFmtId="0" fontId="4" fillId="2" borderId="0" xfId="0" applyFont="1" applyFill="1" applyAlignment="1">
      <alignment horizontal="right"/>
    </xf>
    <xf numFmtId="166" fontId="0" fillId="0" borderId="0" xfId="0" applyNumberFormat="1"/>
    <xf numFmtId="165" fontId="2" fillId="0" borderId="0" xfId="0" applyNumberFormat="1" applyFont="1"/>
    <xf numFmtId="167" fontId="0" fillId="0" borderId="0" xfId="0" applyNumberFormat="1"/>
    <xf numFmtId="10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166" fontId="9" fillId="0" borderId="0" xfId="0" applyNumberFormat="1" applyFont="1"/>
    <xf numFmtId="168" fontId="0" fillId="0" borderId="0" xfId="0" applyNumberFormat="1"/>
    <xf numFmtId="0" fontId="9" fillId="0" borderId="0" xfId="0" applyFont="1" applyAlignment="1">
      <alignment horizontal="right" wrapText="1"/>
    </xf>
    <xf numFmtId="0" fontId="2" fillId="0" borderId="0" xfId="0" applyFont="1" applyAlignment="1">
      <alignment wrapText="1" shrinkToFit="1"/>
    </xf>
    <xf numFmtId="0" fontId="9" fillId="0" borderId="0" xfId="0" applyFont="1" applyAlignment="1">
      <alignment wrapText="1" shrinkToFit="1"/>
    </xf>
    <xf numFmtId="0" fontId="11" fillId="0" borderId="0" xfId="0" applyFont="1" applyAlignment="1">
      <alignment wrapText="1" shrinkToFit="1"/>
    </xf>
    <xf numFmtId="0" fontId="12" fillId="0" borderId="0" xfId="0" applyFont="1" applyAlignment="1">
      <alignment wrapText="1" shrinkToFit="1"/>
    </xf>
    <xf numFmtId="2" fontId="2" fillId="0" borderId="0" xfId="0" applyNumberFormat="1" applyFont="1"/>
    <xf numFmtId="1" fontId="2" fillId="0" borderId="0" xfId="0" applyNumberFormat="1" applyFont="1"/>
    <xf numFmtId="2" fontId="9" fillId="0" borderId="0" xfId="0" applyNumberFormat="1" applyFont="1"/>
    <xf numFmtId="1" fontId="9" fillId="0" borderId="0" xfId="0" applyNumberFormat="1" applyFont="1"/>
    <xf numFmtId="165" fontId="9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2"/>
  <sheetViews>
    <sheetView workbookViewId="0">
      <selection activeCell="A101" sqref="A101"/>
    </sheetView>
  </sheetViews>
  <sheetFormatPr baseColWidth="10" defaultColWidth="8.83203125" defaultRowHeight="15"/>
  <cols>
    <col min="1" max="1" width="50.83203125" customWidth="1"/>
    <col min="2" max="9" width="20.83203125" customWidth="1"/>
    <col min="10" max="13" width="20.83203125" style="1" customWidth="1"/>
    <col min="14" max="21" width="20.83203125" customWidth="1"/>
    <col min="22" max="26" width="20.83203125" style="1" customWidth="1"/>
    <col min="27" max="29" width="20.83203125" customWidth="1"/>
  </cols>
  <sheetData>
    <row r="1" spans="1:26" ht="3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</row>
    <row r="2" spans="1:26" ht="17">
      <c r="A2" s="3" t="s">
        <v>5</v>
      </c>
      <c r="F2" s="1"/>
      <c r="G2" s="1"/>
      <c r="H2" s="1"/>
      <c r="I2" s="1"/>
      <c r="V2"/>
      <c r="W2"/>
      <c r="X2"/>
      <c r="Y2"/>
      <c r="Z2"/>
    </row>
    <row r="3" spans="1:26" ht="16">
      <c r="A3" s="2" t="s">
        <v>6</v>
      </c>
      <c r="B3" s="1">
        <v>257051476000</v>
      </c>
      <c r="C3" s="1">
        <v>275790750346</v>
      </c>
      <c r="D3" s="1">
        <v>229845844000</v>
      </c>
      <c r="E3" s="1">
        <v>212417591000</v>
      </c>
      <c r="F3" s="1">
        <v>190897349000</v>
      </c>
      <c r="G3" s="1">
        <v>239344848455</v>
      </c>
      <c r="H3" s="1">
        <v>179786255000</v>
      </c>
      <c r="I3" s="1">
        <v>152319925000</v>
      </c>
      <c r="J3" s="1">
        <v>152185324000</v>
      </c>
      <c r="K3" s="1">
        <v>134518116000</v>
      </c>
      <c r="L3" s="1">
        <v>121635164000</v>
      </c>
      <c r="M3" s="1">
        <v>106012576000</v>
      </c>
      <c r="N3" s="1">
        <v>84645089000</v>
      </c>
      <c r="O3" s="1">
        <v>80656225000</v>
      </c>
      <c r="P3" s="1">
        <v>85462002000</v>
      </c>
      <c r="Q3" s="1">
        <v>80755626000</v>
      </c>
      <c r="R3" s="1">
        <v>67780864000</v>
      </c>
      <c r="S3" s="1">
        <v>65693526000</v>
      </c>
      <c r="T3" s="1">
        <v>40156967000</v>
      </c>
      <c r="U3" s="1">
        <v>33396936000</v>
      </c>
      <c r="V3" s="1">
        <v>27112480000</v>
      </c>
      <c r="W3" s="1">
        <v>28507242000</v>
      </c>
      <c r="X3" s="1">
        <v>31035758000</v>
      </c>
      <c r="Y3" s="1">
        <v>29162120000</v>
      </c>
      <c r="Z3" s="1">
        <v>26708242000</v>
      </c>
    </row>
    <row r="4" spans="1:26" ht="16">
      <c r="A4" s="2" t="s">
        <v>7</v>
      </c>
      <c r="B4" s="1">
        <v>123933482000</v>
      </c>
      <c r="C4" s="1">
        <v>127070780476</v>
      </c>
      <c r="D4" s="1">
        <v>97706053000</v>
      </c>
      <c r="E4" s="1">
        <v>83896762000</v>
      </c>
      <c r="F4" s="1">
        <v>70389406000</v>
      </c>
      <c r="G4" s="1">
        <v>72331091723</v>
      </c>
      <c r="H4" s="1">
        <v>47837669000</v>
      </c>
      <c r="I4" s="1">
        <v>28432001000</v>
      </c>
      <c r="J4" s="1">
        <v>24430907000</v>
      </c>
      <c r="K4" s="1">
        <v>24072967000</v>
      </c>
      <c r="L4" s="1">
        <v>19546494000</v>
      </c>
      <c r="M4" s="1">
        <v>15329917000</v>
      </c>
      <c r="N4" s="1">
        <v>20082113000</v>
      </c>
      <c r="O4" s="1">
        <v>15186458000</v>
      </c>
      <c r="P4" s="1">
        <v>11377729000</v>
      </c>
      <c r="Q4" s="1">
        <v>12002172000</v>
      </c>
      <c r="R4" s="1">
        <v>15798897000</v>
      </c>
      <c r="S4" s="1">
        <v>23189668000</v>
      </c>
      <c r="T4" s="1">
        <v>12995238000</v>
      </c>
      <c r="U4" s="1">
        <v>10286783000</v>
      </c>
      <c r="V4" s="1">
        <v>8184237000</v>
      </c>
      <c r="W4" s="1">
        <v>13542177000</v>
      </c>
      <c r="X4" s="1">
        <v>15376711000</v>
      </c>
      <c r="Y4" s="1">
        <v>14482916000</v>
      </c>
      <c r="Z4" s="1">
        <v>12836167000</v>
      </c>
    </row>
    <row r="5" spans="1:26" ht="16">
      <c r="A5" s="2" t="s">
        <v>8</v>
      </c>
      <c r="B5" s="1">
        <v>222299000</v>
      </c>
      <c r="C5" s="1">
        <v>0</v>
      </c>
      <c r="D5" s="1">
        <v>0</v>
      </c>
      <c r="E5" s="1">
        <v>0</v>
      </c>
      <c r="F5" s="1">
        <v>1605093000</v>
      </c>
      <c r="G5" s="1">
        <v>2076225899</v>
      </c>
      <c r="H5" s="1">
        <v>4521202000</v>
      </c>
      <c r="I5" s="1">
        <v>1214981000</v>
      </c>
      <c r="J5" s="1">
        <v>1829647000</v>
      </c>
      <c r="K5" s="1">
        <v>1737825000</v>
      </c>
      <c r="L5" s="1">
        <v>1686508000</v>
      </c>
      <c r="M5" s="1">
        <v>1538107000</v>
      </c>
      <c r="N5" s="1">
        <v>1329744000</v>
      </c>
      <c r="O5" s="1">
        <v>700187000</v>
      </c>
      <c r="P5" s="1">
        <v>374040000</v>
      </c>
      <c r="Q5" s="1">
        <v>453688000</v>
      </c>
      <c r="R5" s="1">
        <v>383374000</v>
      </c>
      <c r="S5" s="1">
        <v>9862000</v>
      </c>
      <c r="T5" s="1">
        <v>9714000</v>
      </c>
      <c r="U5" s="1">
        <v>9706000</v>
      </c>
      <c r="V5" s="1">
        <v>9718000</v>
      </c>
      <c r="W5" s="1">
        <v>39048000</v>
      </c>
      <c r="X5" s="1">
        <v>213883000</v>
      </c>
      <c r="Y5" s="1">
        <v>182717000</v>
      </c>
      <c r="Z5" s="1">
        <v>171036000</v>
      </c>
    </row>
    <row r="6" spans="1:26" ht="16">
      <c r="A6" s="2" t="s">
        <v>9</v>
      </c>
      <c r="B6" s="1">
        <v>27036031000</v>
      </c>
      <c r="C6" s="1">
        <v>30203469998</v>
      </c>
      <c r="D6" s="1">
        <v>26581146000</v>
      </c>
      <c r="E6" s="1">
        <v>26111297000</v>
      </c>
      <c r="F6" s="1">
        <v>25744868000</v>
      </c>
      <c r="G6" s="1">
        <v>34639233322</v>
      </c>
      <c r="H6" s="1">
        <v>23547947000</v>
      </c>
      <c r="I6" s="1">
        <v>24515854000</v>
      </c>
      <c r="J6" s="1">
        <v>23048572000</v>
      </c>
      <c r="K6" s="1">
        <v>20353161000</v>
      </c>
      <c r="L6" s="1">
        <v>18015018000</v>
      </c>
      <c r="M6" s="1">
        <v>15674915000</v>
      </c>
      <c r="N6" s="1">
        <v>12454544000</v>
      </c>
      <c r="O6" s="1">
        <v>15602149000</v>
      </c>
      <c r="P6" s="1">
        <v>17412683000</v>
      </c>
      <c r="Q6" s="1">
        <v>15568911000</v>
      </c>
      <c r="R6" s="1">
        <v>12748393000</v>
      </c>
      <c r="S6" s="1">
        <v>11413658000</v>
      </c>
      <c r="T6" s="1">
        <v>6905911000</v>
      </c>
      <c r="U6" s="1">
        <v>5412635000</v>
      </c>
      <c r="V6" s="1">
        <v>4907414000</v>
      </c>
      <c r="W6" s="1">
        <v>3827829000</v>
      </c>
      <c r="X6" s="1">
        <v>3713455000</v>
      </c>
      <c r="Y6" s="1">
        <v>3450524000</v>
      </c>
      <c r="Z6" s="1">
        <v>3294601000</v>
      </c>
    </row>
    <row r="7" spans="1:26" ht="16">
      <c r="A7" s="2" t="s">
        <v>10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1:26" ht="16">
      <c r="A8" s="2" t="s">
        <v>11</v>
      </c>
      <c r="B8" s="1">
        <v>282679000</v>
      </c>
      <c r="C8" s="1">
        <v>303915540</v>
      </c>
      <c r="D8" s="1">
        <v>267627000</v>
      </c>
      <c r="E8" s="1">
        <v>435250000</v>
      </c>
      <c r="F8" s="1">
        <v>229061000</v>
      </c>
      <c r="G8" s="1">
        <v>256123564</v>
      </c>
      <c r="H8" s="1">
        <v>162633000</v>
      </c>
      <c r="I8" s="1">
        <v>163148000</v>
      </c>
      <c r="J8" s="1">
        <v>137821000</v>
      </c>
      <c r="K8" s="1">
        <v>127846000</v>
      </c>
      <c r="L8" s="1">
        <v>123528000</v>
      </c>
      <c r="M8" s="1">
        <v>104038000</v>
      </c>
      <c r="N8" s="1">
        <v>77134000</v>
      </c>
      <c r="O8" s="1">
        <v>61164000</v>
      </c>
      <c r="P8" s="1">
        <v>61990000</v>
      </c>
      <c r="Q8" s="1">
        <v>61322000</v>
      </c>
      <c r="R8" s="1">
        <v>52988000</v>
      </c>
      <c r="S8" s="1">
        <v>51981000</v>
      </c>
      <c r="T8" s="1">
        <v>52211000</v>
      </c>
      <c r="U8" s="1">
        <v>52473000</v>
      </c>
      <c r="V8" s="1">
        <v>47877000</v>
      </c>
      <c r="W8" s="1">
        <v>46520000</v>
      </c>
      <c r="X8" s="1">
        <v>46099000</v>
      </c>
      <c r="Y8" s="1">
        <v>159264000</v>
      </c>
      <c r="Z8" s="1">
        <v>29573000</v>
      </c>
    </row>
    <row r="9" spans="1:26" ht="16">
      <c r="A9" s="2" t="s">
        <v>12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ht="16">
      <c r="A10" s="2" t="s">
        <v>13</v>
      </c>
      <c r="B10" s="1">
        <v>88430422000</v>
      </c>
      <c r="C10" s="1">
        <v>98360024069</v>
      </c>
      <c r="D10" s="1">
        <v>87652119000</v>
      </c>
      <c r="E10" s="1">
        <v>84456730000</v>
      </c>
      <c r="F10" s="1">
        <v>76186420000</v>
      </c>
      <c r="G10" s="1">
        <v>103093936948</v>
      </c>
      <c r="H10" s="1">
        <v>86431444000</v>
      </c>
      <c r="I10" s="1">
        <v>82550430000</v>
      </c>
      <c r="J10" s="1">
        <v>78137696000</v>
      </c>
      <c r="K10" s="1">
        <v>67276704000</v>
      </c>
      <c r="L10" s="1">
        <v>62672512000</v>
      </c>
      <c r="M10" s="1">
        <v>60631392000</v>
      </c>
      <c r="N10" s="1">
        <v>44443601000</v>
      </c>
      <c r="O10" s="1">
        <v>44152408000</v>
      </c>
      <c r="P10" s="1">
        <v>52315306000</v>
      </c>
      <c r="Q10" s="1">
        <v>49353053000</v>
      </c>
      <c r="R10" s="1">
        <v>36456226000</v>
      </c>
      <c r="S10" s="1">
        <v>28960197000</v>
      </c>
      <c r="T10" s="1">
        <v>18550243000</v>
      </c>
      <c r="U10" s="1">
        <v>16189514000</v>
      </c>
      <c r="V10" s="1">
        <v>12792999000</v>
      </c>
      <c r="W10" s="1">
        <v>10106678000</v>
      </c>
      <c r="X10" s="1">
        <v>10637118000</v>
      </c>
      <c r="Y10" s="1">
        <v>9725335000</v>
      </c>
      <c r="Z10" s="1">
        <v>9353864000</v>
      </c>
    </row>
    <row r="11" spans="1:26" ht="16">
      <c r="A11" s="2" t="s">
        <v>14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ht="16">
      <c r="A12" s="2" t="s">
        <v>15</v>
      </c>
      <c r="B12" s="1">
        <v>17146563000</v>
      </c>
      <c r="C12" s="1">
        <v>19852560263</v>
      </c>
      <c r="D12" s="1">
        <v>17638899000</v>
      </c>
      <c r="E12" s="1">
        <v>17517552000</v>
      </c>
      <c r="F12" s="1">
        <v>16742501000</v>
      </c>
      <c r="G12" s="1">
        <v>26948236998</v>
      </c>
      <c r="H12" s="1">
        <v>17285360000</v>
      </c>
      <c r="I12" s="1">
        <v>15443511000</v>
      </c>
      <c r="J12" s="1">
        <v>24600681000</v>
      </c>
      <c r="K12" s="1">
        <v>20949613000</v>
      </c>
      <c r="L12" s="1">
        <v>19591104000</v>
      </c>
      <c r="M12" s="1">
        <v>12734207000</v>
      </c>
      <c r="N12" s="1">
        <v>6257953000</v>
      </c>
      <c r="O12" s="1">
        <v>4953859000</v>
      </c>
      <c r="P12" s="1">
        <v>3920254000</v>
      </c>
      <c r="Q12" s="1">
        <v>3316480000</v>
      </c>
      <c r="R12" s="1">
        <v>2340986000</v>
      </c>
      <c r="S12" s="1">
        <v>2068160000</v>
      </c>
      <c r="T12" s="1">
        <v>1643650000</v>
      </c>
      <c r="U12" s="1">
        <v>1445825000</v>
      </c>
      <c r="V12" s="1">
        <v>1170235000</v>
      </c>
      <c r="W12" s="1">
        <v>944990000</v>
      </c>
      <c r="X12" s="1">
        <v>1048492000</v>
      </c>
      <c r="Y12" s="1">
        <v>1161364000</v>
      </c>
      <c r="Z12" s="1">
        <v>1023001000</v>
      </c>
    </row>
    <row r="13" spans="1:26" ht="16">
      <c r="A13" s="2" t="s">
        <v>16</v>
      </c>
      <c r="B13" s="1">
        <v>257051476000</v>
      </c>
      <c r="C13" s="1">
        <v>275790750346</v>
      </c>
      <c r="D13" s="1">
        <v>229845844000</v>
      </c>
      <c r="E13" s="1">
        <v>212417591000</v>
      </c>
      <c r="F13" s="1">
        <v>190897349000</v>
      </c>
      <c r="G13" s="1">
        <v>239344848455</v>
      </c>
      <c r="H13" s="1">
        <v>179786255000</v>
      </c>
      <c r="I13" s="1">
        <v>152319925000</v>
      </c>
      <c r="J13" s="1">
        <v>152185324000</v>
      </c>
      <c r="K13" s="1">
        <v>134518116000</v>
      </c>
      <c r="L13" s="1">
        <v>121635164000</v>
      </c>
      <c r="M13" s="1">
        <v>106012576000</v>
      </c>
      <c r="N13" s="1">
        <v>84645089000</v>
      </c>
      <c r="O13" s="1">
        <v>80656225000</v>
      </c>
      <c r="P13" s="1">
        <v>85462002000</v>
      </c>
      <c r="Q13" s="1">
        <v>80755626000</v>
      </c>
      <c r="R13" s="1">
        <v>67780864000</v>
      </c>
      <c r="S13" s="1">
        <v>65693526000</v>
      </c>
      <c r="T13" s="1">
        <v>40156967000</v>
      </c>
      <c r="U13" s="1">
        <v>33396936000</v>
      </c>
      <c r="V13" s="1">
        <v>27112480000</v>
      </c>
      <c r="W13" s="1">
        <v>28507242000</v>
      </c>
      <c r="X13" s="1">
        <v>31035758000</v>
      </c>
      <c r="Y13" s="1">
        <v>29162120000</v>
      </c>
      <c r="Z13" s="1">
        <v>26708242000</v>
      </c>
    </row>
    <row r="14" spans="1:26" ht="16">
      <c r="A14" s="2" t="s">
        <v>17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ht="16">
      <c r="A15" s="2" t="s">
        <v>18</v>
      </c>
      <c r="B15" s="1">
        <v>319694560000</v>
      </c>
      <c r="C15" s="1">
        <v>338817917315</v>
      </c>
      <c r="D15" s="1">
        <v>293800584000</v>
      </c>
      <c r="E15" s="1">
        <v>279946971000</v>
      </c>
      <c r="F15" s="1">
        <v>263943473000</v>
      </c>
      <c r="G15" s="1">
        <v>317155633646</v>
      </c>
      <c r="H15" s="1">
        <v>225434877000</v>
      </c>
      <c r="I15" s="1">
        <v>210713372000</v>
      </c>
      <c r="J15" s="1">
        <v>197694900000</v>
      </c>
      <c r="K15" s="1">
        <v>175515133000</v>
      </c>
      <c r="L15" s="1">
        <v>155941506000</v>
      </c>
      <c r="M15" s="1">
        <v>141057019000</v>
      </c>
      <c r="N15" s="1">
        <v>99883704000</v>
      </c>
      <c r="O15" s="1">
        <v>94237398000</v>
      </c>
      <c r="P15" s="1">
        <v>89665515000</v>
      </c>
      <c r="Q15" s="1">
        <v>78029137000</v>
      </c>
      <c r="R15" s="1">
        <v>67423766000</v>
      </c>
      <c r="S15" s="1">
        <v>60748771000</v>
      </c>
      <c r="T15" s="1">
        <v>40007133000</v>
      </c>
      <c r="U15" s="1">
        <v>38723329000</v>
      </c>
      <c r="V15" s="1">
        <v>36217058000</v>
      </c>
      <c r="W15" s="1">
        <v>29486670000</v>
      </c>
      <c r="X15" s="1">
        <v>30466668000</v>
      </c>
      <c r="Y15" s="1">
        <v>26309841000</v>
      </c>
      <c r="Z15" s="1">
        <v>24673675000</v>
      </c>
    </row>
    <row r="16" spans="1:26" ht="16">
      <c r="A16" s="2" t="s">
        <v>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 spans="1:26" ht="16">
      <c r="A17" s="2" t="s">
        <v>10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ht="16">
      <c r="A18" s="2" t="s">
        <v>11</v>
      </c>
      <c r="B18" s="1">
        <v>221456000</v>
      </c>
      <c r="C18" s="1">
        <v>203161661</v>
      </c>
      <c r="D18" s="1">
        <v>175409000</v>
      </c>
      <c r="E18" s="1">
        <v>167507000</v>
      </c>
      <c r="F18" s="1">
        <v>138915000</v>
      </c>
      <c r="G18" s="1">
        <v>173054057</v>
      </c>
      <c r="H18" s="1">
        <v>123620000</v>
      </c>
      <c r="I18" s="1">
        <v>116678000</v>
      </c>
      <c r="J18" s="1">
        <v>90671000</v>
      </c>
      <c r="K18" s="1">
        <v>86537000</v>
      </c>
      <c r="L18" s="1">
        <v>81989000</v>
      </c>
      <c r="M18" s="1">
        <v>78058000</v>
      </c>
      <c r="N18" s="1">
        <v>61060000</v>
      </c>
      <c r="O18" s="1">
        <v>58235000</v>
      </c>
      <c r="P18" s="1">
        <v>54016000</v>
      </c>
      <c r="Q18" s="1">
        <v>53261000</v>
      </c>
      <c r="R18" s="1">
        <v>52786000</v>
      </c>
      <c r="S18" s="1">
        <v>54630000</v>
      </c>
      <c r="T18" s="1">
        <v>55045000</v>
      </c>
      <c r="U18" s="1">
        <v>55817000</v>
      </c>
      <c r="V18" s="1">
        <v>57546000</v>
      </c>
      <c r="W18" s="1">
        <v>39325000</v>
      </c>
      <c r="X18" s="1">
        <v>39544000</v>
      </c>
      <c r="Y18" s="1">
        <v>38681000</v>
      </c>
      <c r="Z18" s="1">
        <v>37319000</v>
      </c>
    </row>
    <row r="19" spans="1:26" ht="16">
      <c r="A19" s="2" t="s">
        <v>12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6" ht="16">
      <c r="A20" s="2" t="s">
        <v>8</v>
      </c>
      <c r="B20" s="1">
        <v>183427000</v>
      </c>
      <c r="C20" s="1">
        <v>204944312</v>
      </c>
      <c r="D20" s="1">
        <v>179802000</v>
      </c>
      <c r="E20" s="1">
        <v>179144000</v>
      </c>
      <c r="F20" s="1">
        <v>178757000</v>
      </c>
      <c r="G20" s="1">
        <v>233099604</v>
      </c>
      <c r="H20" s="1">
        <v>164592000</v>
      </c>
      <c r="I20" s="1">
        <v>163706000</v>
      </c>
      <c r="J20" s="1">
        <v>163098000</v>
      </c>
      <c r="K20" s="1">
        <v>161973000</v>
      </c>
      <c r="L20" s="1">
        <v>126560000</v>
      </c>
      <c r="M20" s="1">
        <v>126982000</v>
      </c>
      <c r="N20" s="1">
        <v>126929000</v>
      </c>
      <c r="O20" s="1">
        <v>127774000</v>
      </c>
      <c r="P20" s="1">
        <v>685000</v>
      </c>
      <c r="Q20" s="1">
        <v>616000</v>
      </c>
      <c r="R20" s="1">
        <v>541000</v>
      </c>
      <c r="S20" s="1">
        <v>493000</v>
      </c>
      <c r="T20" s="1">
        <v>328000</v>
      </c>
      <c r="U20" s="1">
        <v>255000</v>
      </c>
      <c r="V20" s="1">
        <v>245000</v>
      </c>
      <c r="W20" s="1">
        <v>199000</v>
      </c>
      <c r="X20" s="1">
        <v>212000</v>
      </c>
      <c r="Y20" s="1">
        <v>185000</v>
      </c>
      <c r="Z20" s="1">
        <v>177000</v>
      </c>
    </row>
    <row r="21" spans="1:26" ht="16">
      <c r="A21" s="2" t="s">
        <v>19</v>
      </c>
      <c r="B21" s="1">
        <v>1588214000</v>
      </c>
      <c r="C21" s="1">
        <v>1618917560</v>
      </c>
      <c r="D21" s="1">
        <v>1398891000</v>
      </c>
      <c r="E21" s="1">
        <v>1298154000</v>
      </c>
      <c r="F21" s="1">
        <v>1384682000</v>
      </c>
      <c r="G21" s="1">
        <v>1675502962</v>
      </c>
      <c r="H21" s="1">
        <v>1194100000</v>
      </c>
      <c r="I21" s="1">
        <v>1099047000</v>
      </c>
      <c r="J21" s="1">
        <v>1014877000</v>
      </c>
      <c r="K21" s="1">
        <v>884293000</v>
      </c>
      <c r="L21" s="1">
        <v>778087000</v>
      </c>
      <c r="M21" s="1">
        <v>711167000</v>
      </c>
      <c r="N21" s="1">
        <v>620399000</v>
      </c>
      <c r="O21" s="1">
        <v>606053000</v>
      </c>
      <c r="P21" s="1">
        <v>548447000</v>
      </c>
      <c r="Q21" s="1">
        <v>480843000</v>
      </c>
      <c r="R21" s="1">
        <v>404225000</v>
      </c>
      <c r="S21" s="1">
        <v>370292000</v>
      </c>
      <c r="T21" s="1">
        <v>275041000</v>
      </c>
      <c r="U21" s="1">
        <v>262718000</v>
      </c>
      <c r="V21" s="1">
        <v>248596000</v>
      </c>
      <c r="W21" s="1">
        <v>229956000</v>
      </c>
      <c r="X21" s="1">
        <v>239643000</v>
      </c>
      <c r="Y21" s="1">
        <v>216114000</v>
      </c>
      <c r="Z21" s="1">
        <v>192654000</v>
      </c>
    </row>
    <row r="22" spans="1:26" ht="16">
      <c r="A22" s="2" t="s">
        <v>14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6" ht="16">
      <c r="A23" s="2" t="s">
        <v>20</v>
      </c>
      <c r="B23" s="1">
        <v>1443766000</v>
      </c>
      <c r="C23" s="1">
        <v>1534590478</v>
      </c>
      <c r="D23" s="1">
        <v>1352181000</v>
      </c>
      <c r="E23" s="1">
        <v>1295787000</v>
      </c>
      <c r="F23" s="1">
        <v>1232464000</v>
      </c>
      <c r="G23" s="1">
        <v>7680433313</v>
      </c>
      <c r="H23" s="1">
        <v>4984110000</v>
      </c>
      <c r="I23" s="1">
        <v>4834956000</v>
      </c>
      <c r="J23" s="1">
        <v>4794622000</v>
      </c>
      <c r="K23" s="1">
        <v>4407645000</v>
      </c>
      <c r="L23" s="1">
        <v>3781239000</v>
      </c>
      <c r="M23" s="1">
        <v>1237801000</v>
      </c>
      <c r="N23" s="1">
        <v>922343000</v>
      </c>
      <c r="O23" s="1">
        <v>904591000</v>
      </c>
      <c r="P23" s="1">
        <v>900017000</v>
      </c>
      <c r="Q23" s="1">
        <v>813453000</v>
      </c>
      <c r="R23" s="1">
        <v>717874000</v>
      </c>
      <c r="S23" s="1">
        <v>656680000</v>
      </c>
      <c r="T23" s="1">
        <v>439390000</v>
      </c>
      <c r="U23" s="1">
        <v>431510000</v>
      </c>
      <c r="V23" s="1">
        <v>415747000</v>
      </c>
      <c r="W23" s="1">
        <v>368168000</v>
      </c>
      <c r="X23" s="1">
        <v>393351000</v>
      </c>
      <c r="Y23" s="1">
        <v>346216000</v>
      </c>
      <c r="Z23" s="1">
        <v>331158000</v>
      </c>
    </row>
    <row r="24" spans="1:26" ht="16">
      <c r="A24" s="2" t="s">
        <v>13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6" ht="16">
      <c r="A25" s="2" t="s">
        <v>21</v>
      </c>
      <c r="B25" s="1">
        <v>1515086000</v>
      </c>
      <c r="C25" s="1">
        <v>1586442506</v>
      </c>
      <c r="D25" s="1">
        <v>1417857000</v>
      </c>
      <c r="E25" s="1">
        <v>1424602000</v>
      </c>
      <c r="F25" s="1">
        <v>1084694000</v>
      </c>
      <c r="G25" s="1">
        <v>1260777163</v>
      </c>
      <c r="H25" s="1">
        <v>897606000</v>
      </c>
      <c r="I25" s="1">
        <v>659042000</v>
      </c>
      <c r="J25" s="1">
        <v>565764000</v>
      </c>
      <c r="K25" s="1">
        <v>445527000</v>
      </c>
      <c r="L25" s="1">
        <v>371414000</v>
      </c>
      <c r="M25" s="1">
        <v>349809000</v>
      </c>
      <c r="N25" s="1">
        <v>237556000</v>
      </c>
      <c r="O25" s="1">
        <v>242122000</v>
      </c>
      <c r="P25" s="1">
        <v>998185000</v>
      </c>
      <c r="Q25" s="1">
        <v>909772000</v>
      </c>
      <c r="R25" s="1">
        <v>718366000</v>
      </c>
      <c r="S25" s="1">
        <v>660189000</v>
      </c>
      <c r="T25" s="1">
        <v>426860000</v>
      </c>
      <c r="U25" s="1">
        <v>418827000</v>
      </c>
      <c r="V25" s="1">
        <v>360459000</v>
      </c>
      <c r="W25" s="1">
        <v>317644000</v>
      </c>
      <c r="X25" s="1">
        <v>339675000</v>
      </c>
      <c r="Y25" s="1">
        <v>302706000</v>
      </c>
      <c r="Z25" s="1">
        <v>268646000</v>
      </c>
    </row>
    <row r="26" spans="1:26" ht="16">
      <c r="A26" s="2" t="s">
        <v>22</v>
      </c>
      <c r="B26" s="1">
        <v>291729983000</v>
      </c>
      <c r="C26" s="1">
        <v>305141152646</v>
      </c>
      <c r="D26" s="1">
        <v>263528176000</v>
      </c>
      <c r="E26" s="1">
        <v>250362169000</v>
      </c>
      <c r="F26" s="1">
        <v>231404065000</v>
      </c>
      <c r="G26" s="1">
        <v>270833051844</v>
      </c>
      <c r="H26" s="1">
        <v>189260279000</v>
      </c>
      <c r="I26" s="1">
        <v>175226957000</v>
      </c>
      <c r="J26" s="1">
        <v>165434257000</v>
      </c>
      <c r="K26" s="1">
        <v>147415137000</v>
      </c>
      <c r="L26" s="1">
        <v>128519983000</v>
      </c>
      <c r="M26" s="1">
        <v>119066129000</v>
      </c>
      <c r="N26" s="1">
        <v>84911742000</v>
      </c>
      <c r="O26" s="1">
        <v>80715554000</v>
      </c>
      <c r="P26" s="1">
        <v>74465284000</v>
      </c>
      <c r="Q26" s="1">
        <v>65305213000</v>
      </c>
      <c r="R26" s="1">
        <v>56382963000</v>
      </c>
      <c r="S26" s="1">
        <v>51025118000</v>
      </c>
      <c r="T26" s="1">
        <v>33140315000</v>
      </c>
      <c r="U26" s="1">
        <v>31949738000</v>
      </c>
      <c r="V26" s="1">
        <v>30318930000</v>
      </c>
      <c r="W26" s="1">
        <v>26061836000</v>
      </c>
      <c r="X26" s="1">
        <v>27532064000</v>
      </c>
      <c r="Y26" s="1">
        <v>23778415000</v>
      </c>
      <c r="Z26" s="1">
        <v>22590267000</v>
      </c>
    </row>
    <row r="27" spans="1:26" ht="16">
      <c r="A27" s="2" t="s">
        <v>23</v>
      </c>
      <c r="B27" s="1">
        <v>833814000</v>
      </c>
      <c r="C27" s="1">
        <v>885488834</v>
      </c>
      <c r="D27" s="1">
        <v>779550000</v>
      </c>
      <c r="E27" s="1">
        <v>746382000</v>
      </c>
      <c r="F27" s="1">
        <v>709285000</v>
      </c>
      <c r="G27" s="1">
        <v>867303042</v>
      </c>
      <c r="H27" s="1">
        <v>640835000</v>
      </c>
      <c r="I27" s="1">
        <v>616517000</v>
      </c>
      <c r="J27" s="1">
        <v>606360000</v>
      </c>
      <c r="K27" s="1">
        <v>552886000</v>
      </c>
      <c r="L27" s="1">
        <v>514169000</v>
      </c>
      <c r="M27" s="1">
        <v>484990000</v>
      </c>
      <c r="N27" s="1">
        <v>359721000</v>
      </c>
      <c r="O27" s="1">
        <v>351177000</v>
      </c>
      <c r="P27" s="1">
        <v>347804000</v>
      </c>
      <c r="Q27" s="1">
        <v>312922000</v>
      </c>
      <c r="R27" s="1">
        <v>274903000</v>
      </c>
      <c r="S27" s="1">
        <v>250335000</v>
      </c>
      <c r="T27" s="1">
        <v>1124194000</v>
      </c>
      <c r="U27" s="1">
        <v>1099098000</v>
      </c>
      <c r="V27" s="1">
        <v>1062868000</v>
      </c>
      <c r="W27" s="1">
        <v>0</v>
      </c>
      <c r="X27" s="1">
        <v>0</v>
      </c>
      <c r="Y27" s="1">
        <v>0</v>
      </c>
      <c r="Z27" s="1">
        <v>0</v>
      </c>
    </row>
    <row r="28" spans="1:26" ht="16">
      <c r="A28" s="2" t="s">
        <v>24</v>
      </c>
      <c r="B28" s="1">
        <v>10522954000</v>
      </c>
      <c r="C28" s="1">
        <v>11301996815</v>
      </c>
      <c r="D28" s="1">
        <v>9915259000</v>
      </c>
      <c r="E28" s="1">
        <v>9534178000</v>
      </c>
      <c r="F28" s="1">
        <v>9169496000</v>
      </c>
      <c r="G28" s="1">
        <v>11362022211</v>
      </c>
      <c r="H28" s="1">
        <v>8495678000</v>
      </c>
      <c r="I28" s="1">
        <v>8248104000</v>
      </c>
      <c r="J28" s="1">
        <v>8206356000</v>
      </c>
      <c r="K28" s="1">
        <v>7553286000</v>
      </c>
      <c r="L28" s="1">
        <v>6970168000</v>
      </c>
      <c r="M28" s="1">
        <v>6656334000</v>
      </c>
      <c r="N28" s="1">
        <v>5003056000</v>
      </c>
      <c r="O28" s="1">
        <v>4953417000</v>
      </c>
      <c r="P28" s="1">
        <v>4910296000</v>
      </c>
      <c r="Q28" s="1">
        <v>4482039000</v>
      </c>
      <c r="R28" s="1">
        <v>3994922000</v>
      </c>
      <c r="S28" s="1">
        <v>3688755000</v>
      </c>
      <c r="T28" s="1">
        <v>1498338000</v>
      </c>
      <c r="U28" s="1">
        <v>1474502000</v>
      </c>
      <c r="V28" s="1">
        <v>1427659000</v>
      </c>
      <c r="W28" s="1">
        <v>410715000</v>
      </c>
      <c r="X28" s="1">
        <v>384756000</v>
      </c>
      <c r="Y28" s="1">
        <v>343932000</v>
      </c>
      <c r="Z28" s="1">
        <v>334467000</v>
      </c>
    </row>
    <row r="29" spans="1:26" ht="16">
      <c r="A29" s="2" t="s">
        <v>25</v>
      </c>
      <c r="B29" s="1">
        <v>534849000</v>
      </c>
      <c r="C29" s="1">
        <v>428529428</v>
      </c>
      <c r="D29" s="1">
        <v>352410000</v>
      </c>
      <c r="E29" s="1">
        <v>291130000</v>
      </c>
      <c r="F29" s="1">
        <v>372207000</v>
      </c>
      <c r="G29" s="1">
        <v>334696920</v>
      </c>
      <c r="H29" s="1">
        <v>868423000</v>
      </c>
      <c r="I29" s="1">
        <v>299874000</v>
      </c>
      <c r="J29" s="1">
        <v>329994000</v>
      </c>
      <c r="K29" s="1">
        <v>254324000</v>
      </c>
      <c r="L29" s="1">
        <v>488923000</v>
      </c>
      <c r="M29" s="1">
        <v>339444000</v>
      </c>
      <c r="N29" s="1">
        <v>244933000</v>
      </c>
      <c r="O29" s="1">
        <v>244350000</v>
      </c>
      <c r="P29" s="1">
        <v>390034000</v>
      </c>
      <c r="Q29" s="1">
        <v>244010000</v>
      </c>
      <c r="R29" s="1">
        <v>241035000</v>
      </c>
      <c r="S29" s="1">
        <v>184646000</v>
      </c>
      <c r="T29" s="1">
        <v>148199000</v>
      </c>
      <c r="U29" s="1">
        <v>161757000</v>
      </c>
      <c r="V29" s="1">
        <v>72312000</v>
      </c>
      <c r="W29" s="1">
        <v>72311000</v>
      </c>
      <c r="X29" s="1">
        <v>60891000</v>
      </c>
      <c r="Y29" s="1">
        <v>53920000</v>
      </c>
      <c r="Z29" s="1">
        <v>47079000</v>
      </c>
    </row>
    <row r="30" spans="1:26" ht="16">
      <c r="A30" s="2" t="s">
        <v>26</v>
      </c>
      <c r="B30" s="1">
        <v>11121011000</v>
      </c>
      <c r="C30" s="1">
        <v>15912693077</v>
      </c>
      <c r="D30" s="1">
        <v>14701049000</v>
      </c>
      <c r="E30" s="1">
        <v>14647918000</v>
      </c>
      <c r="F30" s="1">
        <v>18268908000</v>
      </c>
      <c r="G30" s="1">
        <v>22735692531</v>
      </c>
      <c r="H30" s="1">
        <v>18805634000</v>
      </c>
      <c r="I30" s="1">
        <v>19448491000</v>
      </c>
      <c r="J30" s="1">
        <v>16488901000</v>
      </c>
      <c r="K30" s="1">
        <v>13753525000</v>
      </c>
      <c r="L30" s="1">
        <v>14308974000</v>
      </c>
      <c r="M30" s="1">
        <v>12006305000</v>
      </c>
      <c r="N30" s="1">
        <v>7395965000</v>
      </c>
      <c r="O30" s="1">
        <v>6034125000</v>
      </c>
      <c r="P30" s="1">
        <v>7050747000</v>
      </c>
      <c r="Q30" s="1">
        <v>5427008000</v>
      </c>
      <c r="R30" s="1">
        <v>4636151000</v>
      </c>
      <c r="S30" s="1">
        <v>3857633000</v>
      </c>
      <c r="T30" s="1">
        <v>2899423000</v>
      </c>
      <c r="U30" s="1">
        <v>2869107000</v>
      </c>
      <c r="V30" s="1">
        <v>2252696000</v>
      </c>
      <c r="W30" s="1">
        <v>1986516000</v>
      </c>
      <c r="X30" s="1">
        <v>1476532000</v>
      </c>
      <c r="Y30" s="1">
        <v>1229672000</v>
      </c>
      <c r="Z30" s="1">
        <v>871908000</v>
      </c>
    </row>
    <row r="31" spans="1:26" ht="16">
      <c r="A31" s="2" t="s">
        <v>27</v>
      </c>
      <c r="B31" s="1">
        <v>576746036000</v>
      </c>
      <c r="C31" s="1">
        <v>614608667662</v>
      </c>
      <c r="D31" s="1">
        <v>523646428000</v>
      </c>
      <c r="E31" s="1">
        <v>492364562000</v>
      </c>
      <c r="F31" s="1">
        <v>454840822000</v>
      </c>
      <c r="G31" s="1">
        <v>556500482101</v>
      </c>
      <c r="H31" s="1">
        <v>405221132000</v>
      </c>
      <c r="I31" s="1">
        <v>363033297000</v>
      </c>
      <c r="J31" s="1">
        <v>349880224000</v>
      </c>
      <c r="K31" s="1">
        <v>310033249000</v>
      </c>
      <c r="L31" s="1">
        <v>277576670000</v>
      </c>
      <c r="M31" s="1">
        <v>247069595000</v>
      </c>
      <c r="N31" s="1">
        <v>184528793000</v>
      </c>
      <c r="O31" s="1">
        <v>174893623000</v>
      </c>
      <c r="P31" s="1">
        <v>175127517000</v>
      </c>
      <c r="Q31" s="1">
        <v>158784763000</v>
      </c>
      <c r="R31" s="1">
        <v>135204630000</v>
      </c>
      <c r="S31" s="1">
        <v>126442297000</v>
      </c>
      <c r="T31" s="1">
        <v>80164100000</v>
      </c>
      <c r="U31" s="1">
        <v>72120265000</v>
      </c>
      <c r="V31" s="1">
        <v>63329538000</v>
      </c>
      <c r="W31" s="1">
        <v>57993912000</v>
      </c>
      <c r="X31" s="1">
        <v>61502426000</v>
      </c>
      <c r="Y31" s="1">
        <v>55471961000</v>
      </c>
      <c r="Z31" s="1">
        <v>51381917000</v>
      </c>
    </row>
    <row r="32" spans="1:26" ht="16">
      <c r="A32" s="2" t="s">
        <v>28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 ht="16">
      <c r="A33" s="2" t="s">
        <v>29</v>
      </c>
      <c r="B33" s="1">
        <v>126598745000</v>
      </c>
      <c r="C33" s="1">
        <v>128651465680</v>
      </c>
      <c r="D33" s="1">
        <v>102484256000</v>
      </c>
      <c r="E33" s="1">
        <v>90223993000</v>
      </c>
      <c r="F33" s="1">
        <v>72842222000</v>
      </c>
      <c r="G33" s="1">
        <v>99856248440</v>
      </c>
      <c r="H33" s="1">
        <v>83013028000</v>
      </c>
      <c r="I33" s="1">
        <v>92608731000</v>
      </c>
      <c r="J33" s="1">
        <v>101824534000</v>
      </c>
      <c r="K33" s="1">
        <v>89291663000</v>
      </c>
      <c r="L33" s="1">
        <v>76797997000</v>
      </c>
      <c r="M33" s="1">
        <v>59036340000</v>
      </c>
      <c r="N33" s="1">
        <v>41557035000</v>
      </c>
      <c r="O33" s="1">
        <v>35908584000</v>
      </c>
      <c r="P33" s="1">
        <v>35440340000</v>
      </c>
      <c r="Q33" s="1">
        <v>34385096000</v>
      </c>
      <c r="R33" s="1">
        <v>32214541000</v>
      </c>
      <c r="S33" s="1">
        <v>23477310000</v>
      </c>
      <c r="T33" s="1">
        <v>15301302000</v>
      </c>
      <c r="U33" s="1">
        <v>13943605000</v>
      </c>
      <c r="V33" s="1">
        <v>12282675000</v>
      </c>
      <c r="W33" s="1">
        <v>9434112000</v>
      </c>
      <c r="X33" s="1">
        <v>11843819000</v>
      </c>
      <c r="Y33" s="1">
        <v>11904439000</v>
      </c>
      <c r="Z33" s="1">
        <v>10300904000</v>
      </c>
    </row>
    <row r="34" spans="1:26" ht="16">
      <c r="A34" s="2" t="s">
        <v>30</v>
      </c>
      <c r="B34" s="1">
        <v>38031629000</v>
      </c>
      <c r="C34" s="1">
        <v>44034852326</v>
      </c>
      <c r="D34" s="1">
        <v>34984045000</v>
      </c>
      <c r="E34" s="1">
        <v>28680057000</v>
      </c>
      <c r="F34" s="1">
        <v>27750349000</v>
      </c>
      <c r="G34" s="1">
        <v>48051966591</v>
      </c>
      <c r="H34" s="1">
        <v>49043260000</v>
      </c>
      <c r="I34" s="1">
        <v>61225925000</v>
      </c>
      <c r="J34" s="1">
        <v>65893485000</v>
      </c>
      <c r="K34" s="1">
        <v>56761083000</v>
      </c>
      <c r="L34" s="1">
        <v>50552321000</v>
      </c>
      <c r="M34" s="1">
        <v>39217525000</v>
      </c>
      <c r="N34" s="1">
        <v>26922320000</v>
      </c>
      <c r="O34" s="1">
        <v>21172290000</v>
      </c>
      <c r="P34" s="1">
        <v>18585084000</v>
      </c>
      <c r="Q34" s="1">
        <v>16233670000</v>
      </c>
      <c r="R34" s="1">
        <v>14911930000</v>
      </c>
      <c r="S34" s="1">
        <v>9715673000</v>
      </c>
      <c r="T34" s="1">
        <v>6497136000</v>
      </c>
      <c r="U34" s="1">
        <v>4870965000</v>
      </c>
      <c r="V34" s="1">
        <v>5118168000</v>
      </c>
      <c r="W34" s="1">
        <v>3785528000</v>
      </c>
      <c r="X34" s="1">
        <v>6282004000</v>
      </c>
      <c r="Y34" s="1">
        <v>7168288000</v>
      </c>
      <c r="Z34" s="1">
        <v>5896258000</v>
      </c>
    </row>
    <row r="35" spans="1:26" ht="16">
      <c r="A35" s="2" t="s">
        <v>31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ht="16">
      <c r="A36" s="2" t="s">
        <v>32</v>
      </c>
      <c r="B36" s="1">
        <v>75072335000</v>
      </c>
      <c r="C36" s="1">
        <v>75665859124</v>
      </c>
      <c r="D36" s="1">
        <v>59863121000</v>
      </c>
      <c r="E36" s="1">
        <v>50581632000</v>
      </c>
      <c r="F36" s="1">
        <v>32416868000</v>
      </c>
      <c r="G36" s="1">
        <v>39298419065</v>
      </c>
      <c r="H36" s="1">
        <v>23801507000</v>
      </c>
      <c r="I36" s="1">
        <v>22600662000</v>
      </c>
      <c r="J36" s="1">
        <v>23915951000</v>
      </c>
      <c r="K36" s="1">
        <v>23427066000</v>
      </c>
      <c r="L36" s="1">
        <v>17401138000</v>
      </c>
      <c r="M36" s="1">
        <v>13533247000</v>
      </c>
      <c r="N36" s="1">
        <v>10958708000</v>
      </c>
      <c r="O36" s="1">
        <v>11228240000</v>
      </c>
      <c r="P36" s="1">
        <v>11221130000</v>
      </c>
      <c r="Q36" s="1">
        <v>12174249000</v>
      </c>
      <c r="R36" s="1">
        <v>9825929000</v>
      </c>
      <c r="S36" s="1">
        <v>6732507000</v>
      </c>
      <c r="T36" s="1">
        <v>4858333000</v>
      </c>
      <c r="U36" s="1">
        <v>5395147000</v>
      </c>
      <c r="V36" s="1">
        <v>4346245000</v>
      </c>
      <c r="W36" s="1">
        <v>3766949000</v>
      </c>
      <c r="X36" s="1">
        <v>3289339000</v>
      </c>
      <c r="Y36" s="1">
        <v>2885545000</v>
      </c>
      <c r="Z36" s="1">
        <v>2874665000</v>
      </c>
    </row>
    <row r="37" spans="1:26" ht="16">
      <c r="A37" s="2" t="s">
        <v>33</v>
      </c>
      <c r="B37" s="1">
        <v>5001274000</v>
      </c>
      <c r="C37" s="1">
        <v>538405636</v>
      </c>
      <c r="D37" s="1">
        <v>433694000</v>
      </c>
      <c r="E37" s="1">
        <v>2241248000</v>
      </c>
      <c r="F37" s="1">
        <v>2780176000</v>
      </c>
      <c r="G37" s="1">
        <v>1293671714</v>
      </c>
      <c r="H37" s="1">
        <v>423136000</v>
      </c>
      <c r="I37" s="1">
        <v>441011000</v>
      </c>
      <c r="J37" s="1">
        <v>2130759000</v>
      </c>
      <c r="K37" s="1">
        <v>1162795000</v>
      </c>
      <c r="L37" s="1">
        <v>388686000</v>
      </c>
      <c r="M37" s="1">
        <v>416070000</v>
      </c>
      <c r="N37" s="1">
        <v>407718000</v>
      </c>
      <c r="O37" s="1">
        <v>207513000</v>
      </c>
      <c r="P37" s="1">
        <v>240985000</v>
      </c>
      <c r="Q37" s="1">
        <v>202148000</v>
      </c>
      <c r="R37" s="1">
        <v>773423000</v>
      </c>
      <c r="S37" s="1">
        <v>236042000</v>
      </c>
      <c r="T37" s="1">
        <v>165875000</v>
      </c>
      <c r="U37" s="1">
        <v>158347000</v>
      </c>
      <c r="V37" s="1">
        <v>463228000</v>
      </c>
      <c r="W37" s="1">
        <v>131885000</v>
      </c>
      <c r="X37" s="1">
        <v>228713000</v>
      </c>
      <c r="Y37" s="1">
        <v>217584000</v>
      </c>
      <c r="Z37" s="1">
        <v>88489000</v>
      </c>
    </row>
    <row r="38" spans="1:26" ht="16">
      <c r="A38" s="2" t="s">
        <v>34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ht="16">
      <c r="A39" s="2" t="s">
        <v>35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 ht="16">
      <c r="A40" s="2" t="s">
        <v>36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 ht="16">
      <c r="A41" s="2" t="s">
        <v>37</v>
      </c>
      <c r="B41" s="1">
        <v>1911762000</v>
      </c>
      <c r="C41" s="1">
        <v>2031046601</v>
      </c>
      <c r="D41" s="1">
        <v>1689846000</v>
      </c>
      <c r="E41" s="1">
        <v>1579043000</v>
      </c>
      <c r="F41" s="1">
        <v>1759658000</v>
      </c>
      <c r="G41" s="1">
        <v>1519958372</v>
      </c>
      <c r="H41" s="1">
        <v>1441945000</v>
      </c>
      <c r="I41" s="1">
        <v>1495943000</v>
      </c>
      <c r="J41" s="1">
        <v>1205354000</v>
      </c>
      <c r="K41" s="1">
        <v>1313940000</v>
      </c>
      <c r="L41" s="1">
        <v>1947328000</v>
      </c>
      <c r="M41" s="1">
        <v>1932226000</v>
      </c>
      <c r="N41" s="1">
        <v>1134966000</v>
      </c>
      <c r="O41" s="1">
        <v>1018967000</v>
      </c>
      <c r="P41" s="1">
        <v>1923588000</v>
      </c>
      <c r="Q41" s="1">
        <v>1634470000</v>
      </c>
      <c r="R41" s="1">
        <v>2390980000</v>
      </c>
      <c r="S41" s="1">
        <v>1490544000</v>
      </c>
      <c r="T41" s="1">
        <v>962860000</v>
      </c>
      <c r="U41" s="1">
        <v>1017487000</v>
      </c>
      <c r="V41" s="1">
        <v>836940000</v>
      </c>
      <c r="W41" s="1">
        <v>542194000</v>
      </c>
      <c r="X41" s="1">
        <v>541719000</v>
      </c>
      <c r="Y41" s="1">
        <v>357922000</v>
      </c>
      <c r="Z41" s="1">
        <v>389162000</v>
      </c>
    </row>
    <row r="42" spans="1:26" ht="16">
      <c r="A42" s="2" t="s">
        <v>38</v>
      </c>
      <c r="B42" s="1">
        <v>613376000</v>
      </c>
      <c r="C42" s="1">
        <v>555753469</v>
      </c>
      <c r="D42" s="1">
        <v>458836000</v>
      </c>
      <c r="E42" s="1">
        <v>262716000</v>
      </c>
      <c r="F42" s="1">
        <v>440484000</v>
      </c>
      <c r="G42" s="1">
        <v>415746759</v>
      </c>
      <c r="H42" s="1">
        <v>2640377000</v>
      </c>
      <c r="I42" s="1">
        <v>2325321000</v>
      </c>
      <c r="J42" s="1">
        <v>4319245000</v>
      </c>
      <c r="K42" s="1">
        <v>3232450000</v>
      </c>
      <c r="L42" s="1">
        <v>2748341000</v>
      </c>
      <c r="M42" s="1">
        <v>606943000</v>
      </c>
      <c r="N42" s="1">
        <v>475720000</v>
      </c>
      <c r="O42" s="1">
        <v>438448000</v>
      </c>
      <c r="P42" s="1">
        <v>2128907000</v>
      </c>
      <c r="Q42" s="1">
        <v>3172565000</v>
      </c>
      <c r="R42" s="1">
        <v>3337024000</v>
      </c>
      <c r="S42" s="1">
        <v>4271705000</v>
      </c>
      <c r="T42" s="1">
        <v>1883489000</v>
      </c>
      <c r="U42" s="1">
        <v>1900203000</v>
      </c>
      <c r="V42" s="1">
        <v>861087000</v>
      </c>
      <c r="W42" s="1">
        <v>536715000</v>
      </c>
      <c r="X42" s="1">
        <v>666304000</v>
      </c>
      <c r="Y42" s="1">
        <v>479060000</v>
      </c>
      <c r="Z42" s="1">
        <v>394439000</v>
      </c>
    </row>
    <row r="43" spans="1:26" ht="16">
      <c r="A43" s="2" t="s">
        <v>39</v>
      </c>
      <c r="B43" s="1">
        <v>1482141000</v>
      </c>
      <c r="C43" s="1">
        <v>1561484295</v>
      </c>
      <c r="D43" s="1">
        <v>1293496000</v>
      </c>
      <c r="E43" s="1">
        <v>1464546000</v>
      </c>
      <c r="F43" s="1">
        <v>1293223000</v>
      </c>
      <c r="G43" s="1">
        <v>1423511668</v>
      </c>
      <c r="H43" s="1">
        <v>966990000</v>
      </c>
      <c r="I43" s="1">
        <v>896464000</v>
      </c>
      <c r="J43" s="1">
        <v>888471000</v>
      </c>
      <c r="K43" s="1">
        <v>698605000</v>
      </c>
      <c r="L43" s="1">
        <v>639926000</v>
      </c>
      <c r="M43" s="1">
        <v>550175000</v>
      </c>
      <c r="N43" s="1">
        <v>550697000</v>
      </c>
      <c r="O43" s="1">
        <v>519432000</v>
      </c>
      <c r="P43" s="1">
        <v>434067000</v>
      </c>
      <c r="Q43" s="1">
        <v>380059000</v>
      </c>
      <c r="R43" s="1">
        <v>354666000</v>
      </c>
      <c r="S43" s="1">
        <v>332869000</v>
      </c>
      <c r="T43" s="1">
        <v>273706000</v>
      </c>
      <c r="U43" s="1">
        <v>257626000</v>
      </c>
      <c r="V43" s="1">
        <v>271709000</v>
      </c>
      <c r="W43" s="1">
        <v>253624000</v>
      </c>
      <c r="X43" s="1">
        <v>255213000</v>
      </c>
      <c r="Y43" s="1">
        <v>266703000</v>
      </c>
      <c r="Z43" s="1">
        <v>254115000</v>
      </c>
    </row>
    <row r="44" spans="1:26" ht="16">
      <c r="A44" s="2" t="s">
        <v>40</v>
      </c>
      <c r="B44" s="1">
        <v>4486228000</v>
      </c>
      <c r="C44" s="1">
        <v>4264064229</v>
      </c>
      <c r="D44" s="1">
        <v>3761218000</v>
      </c>
      <c r="E44" s="1">
        <v>5414751000</v>
      </c>
      <c r="F44" s="1">
        <v>6401464000</v>
      </c>
      <c r="G44" s="1">
        <v>7852974272</v>
      </c>
      <c r="H44" s="1">
        <v>4695813000</v>
      </c>
      <c r="I44" s="1">
        <v>3623405000</v>
      </c>
      <c r="J44" s="1">
        <v>3471269000</v>
      </c>
      <c r="K44" s="1">
        <v>2695724000</v>
      </c>
      <c r="L44" s="1">
        <v>3120257000</v>
      </c>
      <c r="M44" s="1">
        <v>2780154000</v>
      </c>
      <c r="N44" s="1">
        <v>1106906000</v>
      </c>
      <c r="O44" s="1">
        <v>1323694000</v>
      </c>
      <c r="P44" s="1">
        <v>906579000</v>
      </c>
      <c r="Q44" s="1">
        <v>587935000</v>
      </c>
      <c r="R44" s="1">
        <v>620589000</v>
      </c>
      <c r="S44" s="1">
        <v>697970000</v>
      </c>
      <c r="T44" s="1">
        <v>659903000</v>
      </c>
      <c r="U44" s="1">
        <v>343830000</v>
      </c>
      <c r="V44" s="1">
        <v>385298000</v>
      </c>
      <c r="W44" s="1">
        <v>417217000</v>
      </c>
      <c r="X44" s="1">
        <v>580527000</v>
      </c>
      <c r="Y44" s="1">
        <v>529337000</v>
      </c>
      <c r="Z44" s="1">
        <v>403776000</v>
      </c>
    </row>
    <row r="45" spans="1:26" ht="16">
      <c r="A45" s="2" t="s">
        <v>16</v>
      </c>
      <c r="B45" s="1">
        <v>126598745000</v>
      </c>
      <c r="C45" s="1">
        <v>128651465680</v>
      </c>
      <c r="D45" s="1">
        <v>102484256000</v>
      </c>
      <c r="E45" s="1">
        <v>90223993000</v>
      </c>
      <c r="F45" s="1">
        <v>72842222000</v>
      </c>
      <c r="G45" s="1">
        <v>99856248440</v>
      </c>
      <c r="H45" s="1">
        <v>83013028000</v>
      </c>
      <c r="I45" s="1">
        <v>92608731000</v>
      </c>
      <c r="J45" s="1">
        <v>101824534000</v>
      </c>
      <c r="K45" s="1">
        <v>89291663000</v>
      </c>
      <c r="L45" s="1">
        <v>76797997000</v>
      </c>
      <c r="M45" s="1">
        <v>59036340000</v>
      </c>
      <c r="N45" s="1">
        <v>41557035000</v>
      </c>
      <c r="O45" s="1">
        <v>35908584000</v>
      </c>
      <c r="P45" s="1">
        <v>35440340000</v>
      </c>
      <c r="Q45" s="1">
        <v>34385096000</v>
      </c>
      <c r="R45" s="1">
        <v>32214541000</v>
      </c>
      <c r="S45" s="1">
        <v>23477310000</v>
      </c>
      <c r="T45" s="1">
        <v>15301302000</v>
      </c>
      <c r="U45" s="1">
        <v>13943605000</v>
      </c>
      <c r="V45" s="1">
        <v>12282675000</v>
      </c>
      <c r="W45" s="1">
        <v>9434112000</v>
      </c>
      <c r="X45" s="1">
        <v>11843819000</v>
      </c>
      <c r="Y45" s="1">
        <v>11904439000</v>
      </c>
      <c r="Z45" s="1">
        <v>10300904000</v>
      </c>
    </row>
    <row r="46" spans="1:26" ht="16">
      <c r="A46" s="2" t="s">
        <v>41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 ht="16">
      <c r="A47" s="2" t="s">
        <v>42</v>
      </c>
      <c r="B47" s="1">
        <v>145298849000</v>
      </c>
      <c r="C47" s="1">
        <v>158830026986</v>
      </c>
      <c r="D47" s="1">
        <v>132297270000</v>
      </c>
      <c r="E47" s="1">
        <v>127071902000</v>
      </c>
      <c r="F47" s="1">
        <v>121437648000</v>
      </c>
      <c r="G47" s="1">
        <v>136711429987</v>
      </c>
      <c r="H47" s="1">
        <v>89231717000</v>
      </c>
      <c r="I47" s="1">
        <v>47608425000</v>
      </c>
      <c r="J47" s="1">
        <v>33943052000</v>
      </c>
      <c r="K47" s="1">
        <v>29212704000</v>
      </c>
      <c r="L47" s="1">
        <v>34695585000</v>
      </c>
      <c r="M47" s="1">
        <v>31340559000</v>
      </c>
      <c r="N47" s="1">
        <v>21464146000</v>
      </c>
      <c r="O47" s="1">
        <v>20322852000</v>
      </c>
      <c r="P47" s="1">
        <v>25329610000</v>
      </c>
      <c r="Q47" s="1">
        <v>23171760000</v>
      </c>
      <c r="R47" s="1">
        <v>19971406000</v>
      </c>
      <c r="S47" s="1">
        <v>18417383000</v>
      </c>
      <c r="T47" s="1">
        <v>11040696000</v>
      </c>
      <c r="U47" s="1">
        <v>10811350000</v>
      </c>
      <c r="V47" s="1">
        <v>8733935000</v>
      </c>
      <c r="W47" s="1">
        <v>7438224000</v>
      </c>
      <c r="X47" s="1">
        <v>8160435000</v>
      </c>
      <c r="Y47" s="1">
        <v>6822530000</v>
      </c>
      <c r="Z47" s="1">
        <v>6554989000</v>
      </c>
    </row>
    <row r="48" spans="1:26" ht="16">
      <c r="A48" s="2" t="s">
        <v>30</v>
      </c>
      <c r="B48" s="1">
        <v>117595427000</v>
      </c>
      <c r="C48" s="1">
        <v>130203735212</v>
      </c>
      <c r="D48" s="1">
        <v>111815683000</v>
      </c>
      <c r="E48" s="1">
        <v>106619118000</v>
      </c>
      <c r="F48" s="1">
        <v>100407345000</v>
      </c>
      <c r="G48" s="1">
        <v>110704977693</v>
      </c>
      <c r="H48" s="1">
        <v>71914770000</v>
      </c>
      <c r="I48" s="1">
        <v>30177458000</v>
      </c>
      <c r="J48" s="1">
        <v>14751035000</v>
      </c>
      <c r="K48" s="1">
        <v>10979619000</v>
      </c>
      <c r="L48" s="1">
        <v>8990419000</v>
      </c>
      <c r="M48" s="1">
        <v>10171080000</v>
      </c>
      <c r="N48" s="1">
        <v>9353393000</v>
      </c>
      <c r="O48" s="1">
        <v>8408449000</v>
      </c>
      <c r="P48" s="1">
        <v>9157536000</v>
      </c>
      <c r="Q48" s="1">
        <v>8470333000</v>
      </c>
      <c r="R48" s="1">
        <v>7625187000</v>
      </c>
      <c r="S48" s="1">
        <v>6960671000</v>
      </c>
      <c r="T48" s="1">
        <v>4671628000</v>
      </c>
      <c r="U48" s="1">
        <v>4477126000</v>
      </c>
      <c r="V48" s="1">
        <v>2872273000</v>
      </c>
      <c r="W48" s="1">
        <v>2812743000</v>
      </c>
      <c r="X48" s="1">
        <v>2855730000</v>
      </c>
      <c r="Y48" s="1">
        <v>2310823000</v>
      </c>
      <c r="Z48" s="1">
        <v>2223076000</v>
      </c>
    </row>
    <row r="49" spans="1:26" ht="16">
      <c r="A49" s="2" t="s">
        <v>31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ht="16">
      <c r="A50" s="2" t="s">
        <v>32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ht="16">
      <c r="A51" s="2" t="s">
        <v>33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ht="16">
      <c r="A52" s="2" t="s">
        <v>43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ht="16">
      <c r="A53" s="2" t="s">
        <v>35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1:26" ht="16">
      <c r="A54" s="2" t="s">
        <v>36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ht="16">
      <c r="A55" s="2" t="s">
        <v>44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ht="16">
      <c r="A56" s="2" t="s">
        <v>45</v>
      </c>
      <c r="B56" s="1">
        <v>7276497000</v>
      </c>
      <c r="C56" s="1">
        <v>7420164814</v>
      </c>
      <c r="D56" s="1">
        <v>7338888000</v>
      </c>
      <c r="E56" s="1">
        <v>7112349000</v>
      </c>
      <c r="F56" s="1">
        <v>6457015000</v>
      </c>
      <c r="G56" s="1">
        <v>8077865618</v>
      </c>
      <c r="H56" s="1">
        <v>6603721000</v>
      </c>
      <c r="I56" s="1">
        <v>6744897000</v>
      </c>
      <c r="J56" s="1">
        <v>5816514000</v>
      </c>
      <c r="K56" s="1">
        <v>5582475000</v>
      </c>
      <c r="L56" s="1">
        <v>4448004000</v>
      </c>
      <c r="M56" s="1">
        <v>4329740000</v>
      </c>
      <c r="N56" s="1">
        <v>3608080000</v>
      </c>
      <c r="O56" s="1">
        <v>3437905000</v>
      </c>
      <c r="P56" s="1">
        <v>2467801000</v>
      </c>
      <c r="Q56" s="1">
        <v>2342034000</v>
      </c>
      <c r="R56" s="1">
        <v>1723863000</v>
      </c>
      <c r="S56" s="1">
        <v>1605350000</v>
      </c>
      <c r="T56" s="1">
        <v>1238704000</v>
      </c>
      <c r="U56" s="1">
        <v>1201575000</v>
      </c>
      <c r="V56" s="1">
        <v>1029165000</v>
      </c>
      <c r="W56" s="1">
        <v>968136000</v>
      </c>
      <c r="X56" s="1">
        <v>1006652000</v>
      </c>
      <c r="Y56" s="1">
        <v>992651000</v>
      </c>
      <c r="Z56" s="1">
        <v>824104000</v>
      </c>
    </row>
    <row r="57" spans="1:26" ht="16">
      <c r="A57" s="2" t="s">
        <v>46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ht="16">
      <c r="A58" s="2" t="s">
        <v>47</v>
      </c>
      <c r="B58" s="1">
        <v>20398825000</v>
      </c>
      <c r="C58" s="1">
        <v>21175821898</v>
      </c>
      <c r="D58" s="1">
        <v>13119319000</v>
      </c>
      <c r="E58" s="1">
        <v>13317298000</v>
      </c>
      <c r="F58" s="1">
        <v>14548040000</v>
      </c>
      <c r="G58" s="1">
        <v>17898934328</v>
      </c>
      <c r="H58" s="1">
        <v>10696051000</v>
      </c>
      <c r="I58" s="1">
        <v>10669067000</v>
      </c>
      <c r="J58" s="1">
        <v>13358612000</v>
      </c>
      <c r="K58" s="1">
        <v>12632683000</v>
      </c>
      <c r="L58" s="1">
        <v>21244999000</v>
      </c>
      <c r="M58" s="1">
        <v>16827629000</v>
      </c>
      <c r="N58" s="1">
        <v>8490658000</v>
      </c>
      <c r="O58" s="1">
        <v>8464781000</v>
      </c>
      <c r="P58" s="1">
        <v>13699897000</v>
      </c>
      <c r="Q58" s="1">
        <v>12355191000</v>
      </c>
      <c r="R58" s="1">
        <v>10618415000</v>
      </c>
      <c r="S58" s="1">
        <v>9847720000</v>
      </c>
      <c r="T58" s="1">
        <v>5128344000</v>
      </c>
      <c r="U58" s="1">
        <v>5130629000</v>
      </c>
      <c r="V58" s="1">
        <v>4830478000</v>
      </c>
      <c r="W58" s="1">
        <v>3655488000</v>
      </c>
      <c r="X58" s="1">
        <v>4295557000</v>
      </c>
      <c r="Y58" s="1">
        <v>3517178000</v>
      </c>
      <c r="Z58" s="1">
        <v>3428246000</v>
      </c>
    </row>
    <row r="59" spans="1:26" ht="16">
      <c r="A59" s="2" t="s">
        <v>48</v>
      </c>
      <c r="B59" s="1">
        <v>28100000</v>
      </c>
      <c r="C59" s="1">
        <v>30305062</v>
      </c>
      <c r="D59" s="1">
        <v>23380000</v>
      </c>
      <c r="E59" s="1">
        <v>23137000</v>
      </c>
      <c r="F59" s="1">
        <v>25248000</v>
      </c>
      <c r="G59" s="1">
        <v>29652348</v>
      </c>
      <c r="H59" s="1">
        <v>17175000</v>
      </c>
      <c r="I59" s="1">
        <v>17003000</v>
      </c>
      <c r="J59" s="1">
        <v>16891000</v>
      </c>
      <c r="K59" s="1">
        <v>17927000</v>
      </c>
      <c r="L59" s="1">
        <v>12163000</v>
      </c>
      <c r="M59" s="1">
        <v>12110000</v>
      </c>
      <c r="N59" s="1">
        <v>12015000</v>
      </c>
      <c r="O59" s="1">
        <v>11717000</v>
      </c>
      <c r="P59" s="1">
        <v>4376000</v>
      </c>
      <c r="Q59" s="1">
        <v>4202000</v>
      </c>
      <c r="R59" s="1">
        <v>3941000</v>
      </c>
      <c r="S59" s="1">
        <v>3642000</v>
      </c>
      <c r="T59" s="1">
        <v>2020000</v>
      </c>
      <c r="U59" s="1">
        <v>2020000</v>
      </c>
      <c r="V59" s="1">
        <v>2019000</v>
      </c>
      <c r="W59" s="1">
        <v>1857000</v>
      </c>
      <c r="X59" s="1">
        <v>2496000</v>
      </c>
      <c r="Y59" s="1">
        <v>1878000</v>
      </c>
      <c r="Z59" s="1">
        <v>79563000</v>
      </c>
    </row>
    <row r="60" spans="1:26" ht="16">
      <c r="A60" s="2" t="s">
        <v>49</v>
      </c>
      <c r="B60" s="1">
        <v>304848442000</v>
      </c>
      <c r="C60" s="1">
        <v>327127174995</v>
      </c>
      <c r="D60" s="1">
        <v>288864902000</v>
      </c>
      <c r="E60" s="1">
        <v>275068667000</v>
      </c>
      <c r="F60" s="1">
        <v>260560952000</v>
      </c>
      <c r="G60" s="1">
        <v>319932803673</v>
      </c>
      <c r="H60" s="1">
        <v>232976387000</v>
      </c>
      <c r="I60" s="1">
        <v>222816141000</v>
      </c>
      <c r="J60" s="1">
        <v>214112638000</v>
      </c>
      <c r="K60" s="1">
        <v>191528882000</v>
      </c>
      <c r="L60" s="1">
        <v>166083088000</v>
      </c>
      <c r="M60" s="1">
        <v>156692696000</v>
      </c>
      <c r="N60" s="1">
        <v>121507612000</v>
      </c>
      <c r="O60" s="1">
        <v>118662187000</v>
      </c>
      <c r="P60" s="1">
        <v>114357567000</v>
      </c>
      <c r="Q60" s="1">
        <v>101227907000</v>
      </c>
      <c r="R60" s="1">
        <v>83018683000</v>
      </c>
      <c r="S60" s="1">
        <v>84547604000</v>
      </c>
      <c r="T60" s="1">
        <v>53822102000</v>
      </c>
      <c r="U60" s="1">
        <v>47365310000</v>
      </c>
      <c r="V60" s="1">
        <v>42312928000</v>
      </c>
      <c r="W60" s="1">
        <v>41121576000</v>
      </c>
      <c r="X60" s="1">
        <v>41498172000</v>
      </c>
      <c r="Y60" s="1">
        <v>36744992000</v>
      </c>
      <c r="Z60" s="1">
        <v>34526024000</v>
      </c>
    </row>
    <row r="61" spans="1:26" ht="16">
      <c r="A61" s="2" t="s">
        <v>50</v>
      </c>
      <c r="B61" s="1">
        <v>295496351000</v>
      </c>
      <c r="C61" s="1">
        <v>316664688930</v>
      </c>
      <c r="D61" s="1">
        <v>279759808000</v>
      </c>
      <c r="E61" s="1">
        <v>266482251000</v>
      </c>
      <c r="F61" s="1">
        <v>252488620000</v>
      </c>
      <c r="G61" s="1">
        <v>310145971161</v>
      </c>
      <c r="H61" s="1">
        <v>226028404000</v>
      </c>
      <c r="I61" s="1">
        <v>216307430000</v>
      </c>
      <c r="J61" s="1">
        <v>207965236000</v>
      </c>
      <c r="K61" s="1">
        <v>186191490000</v>
      </c>
      <c r="L61" s="1">
        <v>161817534000</v>
      </c>
      <c r="M61" s="1">
        <v>152778104000</v>
      </c>
      <c r="N61" s="1">
        <v>118450626000</v>
      </c>
      <c r="O61" s="1">
        <v>115645231000</v>
      </c>
      <c r="P61" s="1">
        <v>111416374000</v>
      </c>
      <c r="Q61" s="1">
        <v>98643437000</v>
      </c>
      <c r="R61" s="1">
        <v>80985917000</v>
      </c>
      <c r="S61" s="1">
        <v>82292893000</v>
      </c>
      <c r="T61" s="1">
        <v>52076639000</v>
      </c>
      <c r="U61" s="1">
        <v>45869169000</v>
      </c>
      <c r="V61" s="1">
        <v>41024581000</v>
      </c>
      <c r="W61" s="1">
        <v>39809427000</v>
      </c>
      <c r="X61" s="1">
        <v>40222137000</v>
      </c>
      <c r="Y61" s="1">
        <v>35620967000</v>
      </c>
      <c r="Z61" s="1">
        <v>33483619000</v>
      </c>
    </row>
    <row r="62" spans="1:26" ht="16">
      <c r="A62" s="2" t="s">
        <v>51</v>
      </c>
      <c r="B62" s="1">
        <v>7000000000</v>
      </c>
      <c r="C62" s="1">
        <v>7000000000</v>
      </c>
      <c r="D62" s="1">
        <v>7000000000</v>
      </c>
      <c r="E62" s="1">
        <v>7000000000</v>
      </c>
      <c r="F62" s="1">
        <v>7000000000</v>
      </c>
      <c r="G62" s="1">
        <v>7000000000</v>
      </c>
      <c r="H62" s="1">
        <v>3500000000</v>
      </c>
      <c r="I62" s="1">
        <v>3500000000</v>
      </c>
      <c r="J62" s="1">
        <v>3500000000</v>
      </c>
      <c r="K62" s="1">
        <v>3500000000</v>
      </c>
      <c r="L62" s="1">
        <v>3500000000</v>
      </c>
      <c r="M62" s="1">
        <v>3500000000</v>
      </c>
      <c r="N62" s="1">
        <v>3500000000</v>
      </c>
      <c r="O62" s="1">
        <v>3500000000</v>
      </c>
      <c r="P62" s="1">
        <v>3500000000</v>
      </c>
      <c r="Q62" s="1">
        <v>3500000000</v>
      </c>
      <c r="R62" s="1">
        <v>3500000000</v>
      </c>
      <c r="S62" s="1">
        <v>3500000000</v>
      </c>
      <c r="T62" s="1">
        <v>3500000000</v>
      </c>
      <c r="U62" s="1">
        <v>3500000000</v>
      </c>
      <c r="V62" s="1">
        <v>3500000000</v>
      </c>
      <c r="W62" s="1">
        <v>3500000000</v>
      </c>
      <c r="X62" s="1">
        <v>3500000000</v>
      </c>
      <c r="Y62" s="1">
        <v>3500000000</v>
      </c>
      <c r="Z62" s="1">
        <v>3500000000</v>
      </c>
    </row>
    <row r="63" spans="1:26" ht="16">
      <c r="A63" s="2" t="s">
        <v>52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ht="16">
      <c r="A64" s="2" t="s">
        <v>53</v>
      </c>
      <c r="B64" s="1">
        <v>106447000</v>
      </c>
      <c r="C64" s="1">
        <v>117134458</v>
      </c>
      <c r="D64" s="1">
        <v>106447000</v>
      </c>
      <c r="E64" s="1">
        <v>106447000</v>
      </c>
      <c r="F64" s="1">
        <v>106447000</v>
      </c>
      <c r="G64" s="1">
        <v>139330957</v>
      </c>
      <c r="H64" s="1">
        <v>106447000</v>
      </c>
      <c r="I64" s="1">
        <v>106447000</v>
      </c>
      <c r="J64" s="1">
        <v>106447000</v>
      </c>
      <c r="K64" s="1">
        <v>106447000</v>
      </c>
      <c r="L64" s="1">
        <v>106447000</v>
      </c>
      <c r="M64" s="1">
        <v>106447000</v>
      </c>
      <c r="N64" s="1">
        <v>106447000</v>
      </c>
      <c r="O64" s="1">
        <v>106447000</v>
      </c>
      <c r="P64" s="1">
        <v>106447000</v>
      </c>
      <c r="Q64" s="1">
        <v>0</v>
      </c>
      <c r="R64" s="1">
        <v>106447000</v>
      </c>
      <c r="S64" s="1">
        <v>106447000</v>
      </c>
      <c r="T64" s="1">
        <v>106447000</v>
      </c>
      <c r="U64" s="1">
        <v>0</v>
      </c>
      <c r="V64" s="1">
        <v>0</v>
      </c>
      <c r="W64" s="1">
        <v>106447000</v>
      </c>
      <c r="X64" s="1">
        <v>0</v>
      </c>
      <c r="Y64" s="1">
        <v>106447000</v>
      </c>
      <c r="Z64" s="1">
        <v>0</v>
      </c>
    </row>
    <row r="65" spans="1:26" ht="16">
      <c r="A65" s="2" t="s">
        <v>54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ht="16">
      <c r="A66" s="2" t="s">
        <v>55</v>
      </c>
      <c r="B66" s="1">
        <v>-13642184000</v>
      </c>
      <c r="C66" s="1">
        <v>-14160526776</v>
      </c>
      <c r="D66" s="1">
        <v>-12343602000</v>
      </c>
      <c r="E66" s="1">
        <v>-11838902000</v>
      </c>
      <c r="F66" s="1">
        <v>-10972914000</v>
      </c>
      <c r="G66" s="1">
        <v>-12790892611</v>
      </c>
      <c r="H66" s="1">
        <v>5805808000</v>
      </c>
      <c r="I66" s="1">
        <v>3992423000</v>
      </c>
      <c r="J66" s="1">
        <v>3445448000</v>
      </c>
      <c r="K66" s="1">
        <v>-8416227000</v>
      </c>
      <c r="L66" s="1">
        <v>985855000</v>
      </c>
      <c r="M66" s="1">
        <v>1061644000</v>
      </c>
      <c r="N66" s="1">
        <v>1160530000</v>
      </c>
      <c r="O66" s="1">
        <v>2029402000</v>
      </c>
      <c r="P66" s="1">
        <v>752190000</v>
      </c>
      <c r="Q66" s="1">
        <v>555980000</v>
      </c>
      <c r="R66" s="1">
        <v>225158000</v>
      </c>
      <c r="S66" s="1">
        <v>669905000</v>
      </c>
      <c r="T66" s="1">
        <v>902902000</v>
      </c>
      <c r="U66" s="1">
        <v>579179000</v>
      </c>
      <c r="V66" s="1">
        <v>9001753000</v>
      </c>
      <c r="W66" s="1">
        <v>256694000</v>
      </c>
      <c r="X66" s="1">
        <v>8312989000</v>
      </c>
      <c r="Y66" s="1">
        <v>6838949000</v>
      </c>
      <c r="Z66" s="1">
        <v>6327295000</v>
      </c>
    </row>
    <row r="67" spans="1:26" ht="16">
      <c r="A67" s="2" t="s">
        <v>56</v>
      </c>
      <c r="B67" s="1">
        <v>13807619000</v>
      </c>
      <c r="C67" s="1">
        <v>13055927059</v>
      </c>
      <c r="D67" s="1">
        <v>11749291000</v>
      </c>
      <c r="E67" s="1">
        <v>11564326000</v>
      </c>
      <c r="F67" s="1">
        <v>11424662000</v>
      </c>
      <c r="G67" s="1">
        <v>14363430431</v>
      </c>
      <c r="H67" s="1">
        <v>10849099000</v>
      </c>
      <c r="I67" s="1">
        <v>10686820000</v>
      </c>
      <c r="J67" s="1">
        <v>10545759000</v>
      </c>
      <c r="K67" s="1">
        <v>9302588000</v>
      </c>
      <c r="L67" s="1">
        <v>8135262000</v>
      </c>
      <c r="M67" s="1">
        <v>8135262000</v>
      </c>
      <c r="N67" s="1">
        <v>7610990000</v>
      </c>
      <c r="O67" s="1">
        <v>7547778000</v>
      </c>
      <c r="P67" s="1">
        <v>7547778000</v>
      </c>
      <c r="Q67" s="1">
        <v>7547778000</v>
      </c>
      <c r="R67" s="1">
        <v>7547778000</v>
      </c>
      <c r="S67" s="1">
        <v>4988204000</v>
      </c>
      <c r="T67" s="1">
        <v>4628583000</v>
      </c>
      <c r="U67" s="1">
        <v>4628583000</v>
      </c>
      <c r="V67" s="1">
        <v>4628583000</v>
      </c>
      <c r="W67" s="1">
        <v>3597448000</v>
      </c>
      <c r="X67" s="1">
        <v>3597448000</v>
      </c>
      <c r="Y67" s="1">
        <v>3498680000</v>
      </c>
      <c r="Z67" s="1">
        <v>3498681000</v>
      </c>
    </row>
    <row r="68" spans="1:26" ht="16">
      <c r="A68" s="2" t="s">
        <v>57</v>
      </c>
      <c r="B68" s="1">
        <v>165487141000</v>
      </c>
      <c r="C68" s="1">
        <v>180256840605</v>
      </c>
      <c r="D68" s="1">
        <v>158468651000</v>
      </c>
      <c r="E68" s="1">
        <v>151346262000</v>
      </c>
      <c r="F68" s="1">
        <v>143543560000</v>
      </c>
      <c r="G68" s="1">
        <v>158214309192</v>
      </c>
      <c r="H68" s="1">
        <v>117147153000</v>
      </c>
      <c r="I68" s="1">
        <v>112198824000</v>
      </c>
      <c r="J68" s="1">
        <v>110014976000</v>
      </c>
      <c r="K68" s="1">
        <v>97708043000</v>
      </c>
      <c r="L68" s="1">
        <v>90483283000</v>
      </c>
      <c r="M68" s="1">
        <v>85348441000</v>
      </c>
      <c r="N68" s="1">
        <v>63818124000</v>
      </c>
      <c r="O68" s="1">
        <v>40966648000</v>
      </c>
      <c r="P68" s="1">
        <v>40573223000</v>
      </c>
      <c r="Q68" s="1">
        <v>36503894000</v>
      </c>
      <c r="R68" s="1">
        <v>32068901000</v>
      </c>
      <c r="S68" s="1">
        <v>21965415000</v>
      </c>
      <c r="T68" s="1">
        <v>14866456000</v>
      </c>
      <c r="U68" s="1">
        <v>14534512000</v>
      </c>
      <c r="V68" s="1">
        <v>485004000</v>
      </c>
      <c r="W68" s="1">
        <v>15947079000</v>
      </c>
      <c r="X68" s="1">
        <v>4482548000</v>
      </c>
      <c r="Y68" s="1">
        <v>5361514000</v>
      </c>
      <c r="Z68" s="1">
        <v>5361513000</v>
      </c>
    </row>
    <row r="69" spans="1:26" ht="16">
      <c r="A69" s="2" t="s">
        <v>58</v>
      </c>
      <c r="B69" s="1">
        <v>383856000</v>
      </c>
      <c r="C69" s="1">
        <v>563186682</v>
      </c>
      <c r="D69" s="1">
        <v>2384101000</v>
      </c>
      <c r="E69" s="1">
        <v>1732944000</v>
      </c>
      <c r="F69" s="1">
        <v>426389000</v>
      </c>
      <c r="G69" s="1">
        <v>17646050349</v>
      </c>
      <c r="H69" s="1">
        <v>10787470000</v>
      </c>
      <c r="I69" s="1">
        <v>9986795000</v>
      </c>
      <c r="J69" s="1">
        <v>5600923000</v>
      </c>
      <c r="K69" s="1">
        <v>4033089000</v>
      </c>
      <c r="L69" s="1">
        <v>-3867429000</v>
      </c>
      <c r="M69" s="1">
        <v>-3908797000</v>
      </c>
      <c r="N69" s="1">
        <v>90311000</v>
      </c>
      <c r="O69" s="1">
        <v>18005034000</v>
      </c>
      <c r="P69" s="1">
        <v>14830340000</v>
      </c>
      <c r="Q69" s="1">
        <v>12265481000</v>
      </c>
      <c r="R69" s="1">
        <v>5626061000</v>
      </c>
      <c r="S69" s="1">
        <v>15527082000</v>
      </c>
      <c r="T69" s="1">
        <v>10803781000</v>
      </c>
      <c r="U69" s="1">
        <v>5801155000</v>
      </c>
      <c r="V69" s="1">
        <v>2617679000</v>
      </c>
      <c r="W69" s="1">
        <v>3309093000</v>
      </c>
      <c r="X69" s="1">
        <v>1449609000</v>
      </c>
      <c r="Y69" s="1">
        <v>868001000</v>
      </c>
      <c r="Z69" s="1">
        <v>300438000</v>
      </c>
    </row>
    <row r="70" spans="1:26" ht="16">
      <c r="A70" s="2" t="s">
        <v>59</v>
      </c>
      <c r="B70" s="1">
        <v>122353472000</v>
      </c>
      <c r="C70" s="1">
        <v>129129315112</v>
      </c>
      <c r="D70" s="1">
        <v>112394920000</v>
      </c>
      <c r="E70" s="1">
        <v>106571174000</v>
      </c>
      <c r="F70" s="1">
        <v>100960476000</v>
      </c>
      <c r="G70" s="1">
        <v>123411279828</v>
      </c>
      <c r="H70" s="1">
        <v>77832427000</v>
      </c>
      <c r="I70" s="1">
        <v>75836121000</v>
      </c>
      <c r="J70" s="1">
        <v>74751683000</v>
      </c>
      <c r="K70" s="1">
        <v>79957550000</v>
      </c>
      <c r="L70" s="1">
        <v>62474116000</v>
      </c>
      <c r="M70" s="1">
        <v>58535107000</v>
      </c>
      <c r="N70" s="1">
        <v>42164224000</v>
      </c>
      <c r="O70" s="1">
        <v>43489922000</v>
      </c>
      <c r="P70" s="1">
        <v>44106396000</v>
      </c>
      <c r="Q70" s="1">
        <v>38270304000</v>
      </c>
      <c r="R70" s="1">
        <v>31911572000</v>
      </c>
      <c r="S70" s="1">
        <v>35535840000</v>
      </c>
      <c r="T70" s="1">
        <v>17268470000</v>
      </c>
      <c r="U70" s="1">
        <v>16825740000</v>
      </c>
      <c r="V70" s="1">
        <v>20791562000</v>
      </c>
      <c r="W70" s="1">
        <v>13092666000</v>
      </c>
      <c r="X70" s="1">
        <v>18879543000</v>
      </c>
      <c r="Y70" s="1">
        <v>15447376000</v>
      </c>
      <c r="Z70" s="1">
        <v>14495692000</v>
      </c>
    </row>
    <row r="71" spans="1:26" ht="16">
      <c r="A71" s="2" t="s">
        <v>60</v>
      </c>
      <c r="B71" s="1">
        <v>9352091000</v>
      </c>
      <c r="C71" s="1">
        <v>10462486065</v>
      </c>
      <c r="D71" s="1">
        <v>9105094000</v>
      </c>
      <c r="E71" s="1">
        <v>8586416000</v>
      </c>
      <c r="F71" s="1">
        <v>8072332000</v>
      </c>
      <c r="G71" s="1">
        <v>9786832512</v>
      </c>
      <c r="H71" s="1">
        <v>6947983000</v>
      </c>
      <c r="I71" s="1">
        <v>6508711000</v>
      </c>
      <c r="J71" s="1">
        <v>6147402000</v>
      </c>
      <c r="K71" s="1">
        <v>5337392000</v>
      </c>
      <c r="L71" s="1">
        <v>4265554000</v>
      </c>
      <c r="M71" s="1">
        <v>3914592000</v>
      </c>
      <c r="N71" s="1">
        <v>3056986000</v>
      </c>
      <c r="O71" s="1">
        <v>3016956000</v>
      </c>
      <c r="P71" s="1">
        <v>2941193000</v>
      </c>
      <c r="Q71" s="1">
        <v>2584470000</v>
      </c>
      <c r="R71" s="1">
        <v>2032766000</v>
      </c>
      <c r="S71" s="1">
        <v>2254711000</v>
      </c>
      <c r="T71" s="1">
        <v>1745463000</v>
      </c>
      <c r="U71" s="1">
        <v>1496141000</v>
      </c>
      <c r="V71" s="1">
        <v>1288347000</v>
      </c>
      <c r="W71" s="1">
        <v>1312149000</v>
      </c>
      <c r="X71" s="1">
        <v>1276035000</v>
      </c>
      <c r="Y71" s="1">
        <v>1124025000</v>
      </c>
      <c r="Z71" s="1">
        <v>1042405000</v>
      </c>
    </row>
    <row r="72" spans="1:26" ht="16">
      <c r="A72" s="2" t="s">
        <v>61</v>
      </c>
      <c r="B72" s="1">
        <v>576746036000</v>
      </c>
      <c r="C72" s="1">
        <v>614608667662</v>
      </c>
      <c r="D72" s="1">
        <v>523646428000</v>
      </c>
      <c r="E72" s="1">
        <v>492364562000</v>
      </c>
      <c r="F72" s="1">
        <v>454840822000</v>
      </c>
      <c r="G72" s="1">
        <v>556500482101</v>
      </c>
      <c r="H72" s="1">
        <v>405221132000</v>
      </c>
      <c r="I72" s="1">
        <v>363033297000</v>
      </c>
      <c r="J72" s="1">
        <v>349880224000</v>
      </c>
      <c r="K72" s="1">
        <v>310033249000</v>
      </c>
      <c r="L72" s="1">
        <v>277576670000</v>
      </c>
      <c r="M72" s="1">
        <v>247069595000</v>
      </c>
      <c r="N72" s="1">
        <v>184528793000</v>
      </c>
      <c r="O72" s="1">
        <v>174893623000</v>
      </c>
      <c r="P72" s="1">
        <v>175127517000</v>
      </c>
      <c r="Q72" s="1">
        <v>158784763000</v>
      </c>
      <c r="R72" s="1">
        <v>135204630000</v>
      </c>
      <c r="S72" s="1">
        <v>126442297000</v>
      </c>
      <c r="T72" s="1">
        <v>80164100000</v>
      </c>
      <c r="U72" s="1">
        <v>72120265000</v>
      </c>
      <c r="V72" s="1">
        <v>63329538000</v>
      </c>
      <c r="W72" s="1">
        <v>57993912000</v>
      </c>
      <c r="X72" s="1">
        <v>61502426000</v>
      </c>
      <c r="Y72" s="1">
        <v>55471961000</v>
      </c>
      <c r="Z72" s="1">
        <v>51381917000</v>
      </c>
    </row>
    <row r="73" spans="1:26" ht="17">
      <c r="A73" s="3" t="s">
        <v>62</v>
      </c>
      <c r="B73" s="1"/>
      <c r="C73" s="1"/>
      <c r="D73" s="1"/>
      <c r="E73" s="1"/>
      <c r="F73" s="1"/>
      <c r="G73" s="1"/>
      <c r="H73" s="1"/>
      <c r="I73" s="1"/>
      <c r="N73" s="1"/>
      <c r="O73" s="1"/>
      <c r="P73" s="1"/>
      <c r="Q73" s="1"/>
      <c r="R73" s="1"/>
      <c r="S73" s="1"/>
      <c r="T73" s="1"/>
      <c r="U73" s="1"/>
    </row>
    <row r="74" spans="1:26" ht="16">
      <c r="A74" s="2" t="s">
        <v>63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ht="16">
      <c r="A75" s="2" t="s">
        <v>64</v>
      </c>
      <c r="B75" s="1">
        <v>59684847000</v>
      </c>
      <c r="C75" s="1">
        <v>229884810210</v>
      </c>
      <c r="D75" s="1">
        <v>147915207000</v>
      </c>
      <c r="E75" s="1">
        <v>94957592000</v>
      </c>
      <c r="F75" s="1">
        <v>53544627000</v>
      </c>
      <c r="G75" s="1">
        <v>267098807580</v>
      </c>
      <c r="H75" s="1">
        <v>148946763000</v>
      </c>
      <c r="I75" s="1">
        <v>100218054000</v>
      </c>
      <c r="J75" s="1">
        <v>49747633000</v>
      </c>
      <c r="K75" s="1">
        <v>147899792000</v>
      </c>
      <c r="L75" s="1">
        <v>101010326000</v>
      </c>
      <c r="M75" s="1">
        <v>63619932000</v>
      </c>
      <c r="N75" s="1">
        <v>26273984000</v>
      </c>
      <c r="O75" s="1">
        <v>127782881000</v>
      </c>
      <c r="P75" s="1">
        <v>100535316000</v>
      </c>
      <c r="Q75" s="1">
        <v>63812753000</v>
      </c>
      <c r="R75" s="1">
        <v>29204128000</v>
      </c>
      <c r="S75" s="1">
        <v>68227404000</v>
      </c>
      <c r="T75" s="1">
        <v>43060307000</v>
      </c>
      <c r="U75" s="1">
        <v>24797566000</v>
      </c>
      <c r="V75" s="1">
        <v>10464203000</v>
      </c>
      <c r="W75" s="1">
        <v>32048029000</v>
      </c>
      <c r="X75" s="1">
        <v>21936023000</v>
      </c>
      <c r="Y75" s="1">
        <v>13783158000</v>
      </c>
      <c r="Z75" s="1">
        <v>6378927000</v>
      </c>
    </row>
    <row r="76" spans="1:26" ht="16">
      <c r="A76" s="2" t="s">
        <v>65</v>
      </c>
      <c r="B76" s="1">
        <v>-54879228000</v>
      </c>
      <c r="C76" s="1">
        <v>-209456210573</v>
      </c>
      <c r="D76" s="1">
        <v>-136076956000</v>
      </c>
      <c r="E76" s="1">
        <v>-87290004000</v>
      </c>
      <c r="F76" s="1">
        <v>-49743369000</v>
      </c>
      <c r="G76" s="1">
        <v>-240914315541</v>
      </c>
      <c r="H76" s="1">
        <v>-131351920000</v>
      </c>
      <c r="I76" s="1">
        <v>-86952034000</v>
      </c>
      <c r="J76" s="1">
        <v>-42718340000</v>
      </c>
      <c r="K76" s="1">
        <v>-132242934000</v>
      </c>
      <c r="L76" s="1">
        <v>-91436527000</v>
      </c>
      <c r="M76" s="1">
        <v>-58866951000</v>
      </c>
      <c r="N76" s="1">
        <v>-25148401000</v>
      </c>
      <c r="O76" s="1">
        <v>-102244085000</v>
      </c>
      <c r="P76" s="1">
        <v>-75556602000</v>
      </c>
      <c r="Q76" s="1">
        <v>-43859884000</v>
      </c>
      <c r="R76" s="1">
        <v>-19755417000</v>
      </c>
      <c r="S76" s="1">
        <v>-42710993000</v>
      </c>
      <c r="T76" s="1">
        <v>-26789372000</v>
      </c>
      <c r="U76" s="1">
        <v>-15760536000</v>
      </c>
      <c r="V76" s="1">
        <v>-6810111000</v>
      </c>
      <c r="W76" s="1">
        <v>-26123431000</v>
      </c>
      <c r="X76" s="1">
        <v>-18444861000</v>
      </c>
      <c r="Y76" s="1">
        <v>-11716960000</v>
      </c>
      <c r="Z76" s="1">
        <v>-5501248000</v>
      </c>
    </row>
    <row r="77" spans="1:26" ht="16">
      <c r="A77" s="2" t="s">
        <v>66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</row>
    <row r="78" spans="1:26" ht="16">
      <c r="A78" s="2" t="s">
        <v>67</v>
      </c>
      <c r="B78" s="1">
        <v>4805619000</v>
      </c>
      <c r="C78" s="1">
        <v>20428599637</v>
      </c>
      <c r="D78" s="1">
        <v>11838251000</v>
      </c>
      <c r="E78" s="1">
        <v>7667588000</v>
      </c>
      <c r="F78" s="1">
        <v>3801258000</v>
      </c>
      <c r="G78" s="1">
        <v>26184492040</v>
      </c>
      <c r="H78" s="1">
        <v>17594843000</v>
      </c>
      <c r="I78" s="1">
        <v>13266020000</v>
      </c>
      <c r="J78" s="1">
        <v>7029293000</v>
      </c>
      <c r="K78" s="1">
        <v>15656858000</v>
      </c>
      <c r="L78" s="1">
        <v>9573799000</v>
      </c>
      <c r="M78" s="1">
        <v>4752981000</v>
      </c>
      <c r="N78" s="1">
        <v>1125583000</v>
      </c>
      <c r="O78" s="1">
        <v>25538796000</v>
      </c>
      <c r="P78" s="1">
        <v>24978714000</v>
      </c>
      <c r="Q78" s="1">
        <v>19952869000</v>
      </c>
      <c r="R78" s="1">
        <v>9448711000</v>
      </c>
      <c r="S78" s="1">
        <v>25516411000</v>
      </c>
      <c r="T78" s="1">
        <v>16270935000</v>
      </c>
      <c r="U78" s="1">
        <v>9037030000</v>
      </c>
      <c r="V78" s="1">
        <v>3654092000</v>
      </c>
      <c r="W78" s="1">
        <v>5924598000</v>
      </c>
      <c r="X78" s="1">
        <v>3491162000</v>
      </c>
      <c r="Y78" s="1">
        <v>2066198000</v>
      </c>
      <c r="Z78" s="1">
        <v>877679000</v>
      </c>
    </row>
    <row r="79" spans="1:26" ht="16">
      <c r="A79" s="2" t="s">
        <v>68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ht="16">
      <c r="A80" s="2" t="s">
        <v>69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</row>
    <row r="81" spans="1:26" ht="16">
      <c r="A81" s="2" t="s">
        <v>70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ht="16">
      <c r="A82" s="2" t="s">
        <v>71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 ht="16">
      <c r="A83" s="2" t="s">
        <v>72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</row>
    <row r="84" spans="1:26" ht="16">
      <c r="A84" s="2" t="s">
        <v>73</v>
      </c>
      <c r="B84" s="1">
        <v>4805619000</v>
      </c>
      <c r="C84" s="1">
        <v>20428599637</v>
      </c>
      <c r="D84" s="1">
        <v>11838251000</v>
      </c>
      <c r="E84" s="1">
        <v>7667588000</v>
      </c>
      <c r="F84" s="1">
        <v>3801258000</v>
      </c>
      <c r="G84" s="1">
        <v>26184492040</v>
      </c>
      <c r="H84" s="1">
        <v>17594843000</v>
      </c>
      <c r="I84" s="1">
        <v>13266020000</v>
      </c>
      <c r="J84" s="1">
        <v>7029293000</v>
      </c>
      <c r="K84" s="1">
        <v>15656858000</v>
      </c>
      <c r="L84" s="1">
        <v>9573799000</v>
      </c>
      <c r="M84" s="1">
        <v>4752981000</v>
      </c>
      <c r="N84" s="1">
        <v>1125583000</v>
      </c>
      <c r="O84" s="1">
        <v>25538796000</v>
      </c>
      <c r="P84" s="1">
        <v>24978714000</v>
      </c>
      <c r="Q84" s="1">
        <v>19952869000</v>
      </c>
      <c r="R84" s="1">
        <v>9448711000</v>
      </c>
      <c r="S84" s="1">
        <v>25516411000</v>
      </c>
      <c r="T84" s="1">
        <v>16270935000</v>
      </c>
      <c r="U84" s="1">
        <v>9037030000</v>
      </c>
      <c r="V84" s="1">
        <v>3654092000</v>
      </c>
      <c r="W84" s="1">
        <v>5924598000</v>
      </c>
      <c r="X84" s="1">
        <v>3491162000</v>
      </c>
      <c r="Y84" s="1">
        <v>2066198000</v>
      </c>
      <c r="Z84" s="1">
        <v>877679000</v>
      </c>
    </row>
    <row r="85" spans="1:26" ht="16">
      <c r="A85" s="2" t="s">
        <v>74</v>
      </c>
      <c r="B85" s="1">
        <v>-705628000</v>
      </c>
      <c r="C85" s="1">
        <v>-2841131510</v>
      </c>
      <c r="D85" s="1">
        <v>-1893830000</v>
      </c>
      <c r="E85" s="1">
        <v>-1211057000</v>
      </c>
      <c r="F85" s="1">
        <v>-559266000</v>
      </c>
      <c r="G85" s="1">
        <v>-2692957830</v>
      </c>
      <c r="H85" s="1">
        <v>-1466965000</v>
      </c>
      <c r="I85" s="1">
        <v>-938249000</v>
      </c>
      <c r="J85" s="1">
        <v>-431256000</v>
      </c>
      <c r="K85" s="1">
        <v>-1177995000</v>
      </c>
      <c r="L85" s="1">
        <v>-812365000</v>
      </c>
      <c r="M85" s="1">
        <v>-532072000</v>
      </c>
      <c r="N85" s="1">
        <v>-187274000</v>
      </c>
      <c r="O85" s="1">
        <v>-741626000</v>
      </c>
      <c r="P85" s="1">
        <v>-534189000</v>
      </c>
      <c r="Q85" s="1">
        <v>-335927000</v>
      </c>
      <c r="R85" s="1">
        <v>-152166000</v>
      </c>
      <c r="S85" s="1">
        <v>-379587000</v>
      </c>
      <c r="T85" s="1">
        <v>-247840000</v>
      </c>
      <c r="U85" s="1">
        <v>-166165000</v>
      </c>
      <c r="V85" s="1">
        <v>-73714000</v>
      </c>
      <c r="W85" s="1">
        <v>-257809000</v>
      </c>
      <c r="X85" s="1">
        <v>-191979000</v>
      </c>
      <c r="Y85" s="1">
        <v>-126287000</v>
      </c>
      <c r="Z85" s="1">
        <v>-57537000</v>
      </c>
    </row>
    <row r="86" spans="1:26" ht="16">
      <c r="A86" s="2" t="s">
        <v>75</v>
      </c>
      <c r="B86" s="1">
        <v>-1846213000</v>
      </c>
      <c r="C86" s="1">
        <v>-7111155515</v>
      </c>
      <c r="D86" s="1">
        <v>-4635488000</v>
      </c>
      <c r="E86" s="1">
        <v>-3008648000</v>
      </c>
      <c r="F86" s="1">
        <v>-1399112000</v>
      </c>
      <c r="G86" s="1">
        <v>-7011302566</v>
      </c>
      <c r="H86" s="1">
        <v>-3773580000</v>
      </c>
      <c r="I86" s="1">
        <v>-2392212000</v>
      </c>
      <c r="J86" s="1">
        <v>-1005053000</v>
      </c>
      <c r="K86" s="1">
        <v>-2672791000</v>
      </c>
      <c r="L86" s="1">
        <v>-1812061000</v>
      </c>
      <c r="M86" s="1">
        <v>-1228014000</v>
      </c>
      <c r="N86" s="1">
        <v>-527161000</v>
      </c>
      <c r="O86" s="1">
        <v>-1536558000</v>
      </c>
      <c r="P86" s="1">
        <v>-1037946000</v>
      </c>
      <c r="Q86" s="1">
        <v>-628328000</v>
      </c>
      <c r="R86" s="1">
        <v>-295215000</v>
      </c>
      <c r="S86" s="1">
        <v>-673322000</v>
      </c>
      <c r="T86" s="1">
        <v>-429693000</v>
      </c>
      <c r="U86" s="1">
        <v>-272539000</v>
      </c>
      <c r="V86" s="1">
        <v>-128925000</v>
      </c>
      <c r="W86" s="1">
        <v>-497600000</v>
      </c>
      <c r="X86" s="1">
        <v>-348434000</v>
      </c>
      <c r="Y86" s="1">
        <v>-234549000</v>
      </c>
      <c r="Z86" s="1">
        <v>-110497000</v>
      </c>
    </row>
    <row r="87" spans="1:26" ht="16">
      <c r="A87" s="2" t="s">
        <v>76</v>
      </c>
      <c r="B87" s="1">
        <v>-109919000</v>
      </c>
      <c r="C87" s="1">
        <v>-401418832</v>
      </c>
      <c r="D87" s="1">
        <v>-262226000</v>
      </c>
      <c r="E87" s="1">
        <v>-168515000</v>
      </c>
      <c r="F87" s="1">
        <v>-83753000</v>
      </c>
      <c r="G87" s="1">
        <v>-439262875</v>
      </c>
      <c r="H87" s="1">
        <v>-219326000</v>
      </c>
      <c r="I87" s="1">
        <v>-141708000</v>
      </c>
      <c r="J87" s="1">
        <v>-64630000</v>
      </c>
      <c r="K87" s="1">
        <v>-190227000</v>
      </c>
      <c r="L87" s="1">
        <v>-125862000</v>
      </c>
      <c r="M87" s="1">
        <v>-83783000</v>
      </c>
      <c r="N87" s="1">
        <v>-32017000</v>
      </c>
      <c r="O87" s="1">
        <v>-99936000</v>
      </c>
      <c r="P87" s="1">
        <v>-68540000</v>
      </c>
      <c r="Q87" s="1">
        <v>-41163000</v>
      </c>
      <c r="R87" s="1">
        <v>-19198000</v>
      </c>
      <c r="S87" s="1">
        <v>-47633000</v>
      </c>
      <c r="T87" s="1">
        <v>-30494000</v>
      </c>
      <c r="U87" s="1">
        <v>-17908000</v>
      </c>
      <c r="V87" s="1">
        <v>-8022000</v>
      </c>
      <c r="W87" s="1">
        <v>-29397000</v>
      </c>
      <c r="X87" s="1">
        <v>-20449000</v>
      </c>
      <c r="Y87" s="1">
        <v>-13454000</v>
      </c>
      <c r="Z87" s="1">
        <v>-6371000</v>
      </c>
    </row>
    <row r="88" spans="1:26" ht="16">
      <c r="A88" s="2" t="s">
        <v>77</v>
      </c>
      <c r="B88" s="1">
        <v>657013000</v>
      </c>
      <c r="C88" s="1">
        <v>2780294703</v>
      </c>
      <c r="D88" s="1">
        <v>2120167000</v>
      </c>
      <c r="E88" s="1">
        <v>1292343000</v>
      </c>
      <c r="F88" s="1">
        <v>519124000</v>
      </c>
      <c r="G88" s="1">
        <v>12807835314</v>
      </c>
      <c r="H88" s="1">
        <v>4401971000</v>
      </c>
      <c r="I88" s="1">
        <v>3990294000</v>
      </c>
      <c r="J88" s="1">
        <v>3535969000</v>
      </c>
      <c r="K88" s="1">
        <v>4591521000</v>
      </c>
      <c r="L88" s="1">
        <v>4104998000</v>
      </c>
      <c r="M88" s="1">
        <v>1874942000</v>
      </c>
      <c r="N88" s="1">
        <v>839538000</v>
      </c>
      <c r="O88" s="1">
        <v>947150000</v>
      </c>
      <c r="P88" s="1">
        <v>378167000</v>
      </c>
      <c r="Q88" s="1">
        <v>159568000</v>
      </c>
      <c r="R88" s="1">
        <v>54434000</v>
      </c>
      <c r="S88" s="1">
        <v>675061000</v>
      </c>
      <c r="T88" s="1">
        <v>164848000</v>
      </c>
      <c r="U88" s="1">
        <v>120921000</v>
      </c>
      <c r="V88" s="1">
        <v>71481000</v>
      </c>
      <c r="W88" s="1">
        <v>593266000</v>
      </c>
      <c r="X88" s="1">
        <v>594158000</v>
      </c>
      <c r="Y88" s="1">
        <v>335805000</v>
      </c>
      <c r="Z88" s="1">
        <v>99349000</v>
      </c>
    </row>
    <row r="89" spans="1:26" ht="16">
      <c r="A89" s="2" t="s">
        <v>78</v>
      </c>
      <c r="B89" s="1">
        <v>-373642000</v>
      </c>
      <c r="C89" s="1">
        <v>-1904139476</v>
      </c>
      <c r="D89" s="1">
        <v>-1242287000</v>
      </c>
      <c r="E89" s="1">
        <v>-834995000</v>
      </c>
      <c r="F89" s="1">
        <v>-380849000</v>
      </c>
      <c r="G89" s="1">
        <v>-1287827371</v>
      </c>
      <c r="H89" s="1">
        <v>-683413000</v>
      </c>
      <c r="I89" s="1">
        <v>-416452000</v>
      </c>
      <c r="J89" s="1">
        <v>-253490000</v>
      </c>
      <c r="K89" s="1">
        <v>-1457738000</v>
      </c>
      <c r="L89" s="1">
        <v>-1240429000</v>
      </c>
      <c r="M89" s="1">
        <v>-1120885000</v>
      </c>
      <c r="N89" s="1">
        <v>-782682000</v>
      </c>
      <c r="O89" s="1">
        <v>-537838000</v>
      </c>
      <c r="P89" s="1">
        <v>-397460000</v>
      </c>
      <c r="Q89" s="1">
        <v>-200114000</v>
      </c>
      <c r="R89" s="1">
        <v>-166572000</v>
      </c>
      <c r="S89" s="1">
        <v>-219458000</v>
      </c>
      <c r="T89" s="1">
        <v>-126060000</v>
      </c>
      <c r="U89" s="1">
        <v>-85270000</v>
      </c>
      <c r="V89" s="1">
        <v>-45808000</v>
      </c>
      <c r="W89" s="1">
        <v>-159858000</v>
      </c>
      <c r="X89" s="1">
        <v>-108802000</v>
      </c>
      <c r="Y89" s="1">
        <v>-70959000</v>
      </c>
      <c r="Z89" s="1">
        <v>-38653000</v>
      </c>
    </row>
    <row r="90" spans="1:26" ht="16">
      <c r="A90" s="2" t="s">
        <v>79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</row>
    <row r="91" spans="1:26" ht="16">
      <c r="A91" s="2" t="s">
        <v>80</v>
      </c>
      <c r="B91" s="1">
        <v>2427230000</v>
      </c>
      <c r="C91" s="1">
        <v>10951049007</v>
      </c>
      <c r="D91" s="1">
        <v>5924587000</v>
      </c>
      <c r="E91" s="1">
        <v>3736716000</v>
      </c>
      <c r="F91" s="1">
        <v>1897402000</v>
      </c>
      <c r="G91" s="1">
        <v>27560976712</v>
      </c>
      <c r="H91" s="1">
        <v>15853530000</v>
      </c>
      <c r="I91" s="1">
        <v>13367693000</v>
      </c>
      <c r="J91" s="1">
        <v>8810833000</v>
      </c>
      <c r="K91" s="1">
        <v>14749628000</v>
      </c>
      <c r="L91" s="1">
        <v>9688080000</v>
      </c>
      <c r="M91" s="1">
        <v>3663169000</v>
      </c>
      <c r="N91" s="1">
        <v>435987000</v>
      </c>
      <c r="O91" s="1">
        <v>23569988000</v>
      </c>
      <c r="P91" s="1">
        <v>23318746000</v>
      </c>
      <c r="Q91" s="1">
        <v>18906905000</v>
      </c>
      <c r="R91" s="1">
        <v>8869994000</v>
      </c>
      <c r="S91" s="1">
        <v>24871472000</v>
      </c>
      <c r="T91" s="1">
        <v>15601696000</v>
      </c>
      <c r="U91" s="1">
        <v>8616069000</v>
      </c>
      <c r="V91" s="1">
        <v>3469104000</v>
      </c>
      <c r="W91" s="1">
        <v>5573200000</v>
      </c>
      <c r="X91" s="1">
        <v>3415656000</v>
      </c>
      <c r="Y91" s="1">
        <v>1956754000</v>
      </c>
      <c r="Z91" s="1">
        <v>763970000</v>
      </c>
    </row>
    <row r="92" spans="1:26" ht="16">
      <c r="A92" s="2" t="s">
        <v>81</v>
      </c>
      <c r="B92" s="1">
        <v>2143859000</v>
      </c>
      <c r="C92" s="1">
        <v>10074893780</v>
      </c>
      <c r="D92" s="1">
        <v>5046707000</v>
      </c>
      <c r="E92" s="1">
        <v>3279368000</v>
      </c>
      <c r="F92" s="1">
        <v>1759127000</v>
      </c>
      <c r="G92" s="1">
        <v>16040968769</v>
      </c>
      <c r="H92" s="1">
        <v>12134972000</v>
      </c>
      <c r="I92" s="1">
        <v>9793851000</v>
      </c>
      <c r="J92" s="1">
        <v>5528354000</v>
      </c>
      <c r="K92" s="1">
        <v>11615845000</v>
      </c>
      <c r="L92" s="1">
        <v>6823511000</v>
      </c>
      <c r="M92" s="1">
        <v>2909112000</v>
      </c>
      <c r="N92" s="1">
        <v>379131000</v>
      </c>
      <c r="O92" s="1">
        <v>23160676000</v>
      </c>
      <c r="P92" s="1">
        <v>23338039000</v>
      </c>
      <c r="Q92" s="1">
        <v>18947451000</v>
      </c>
      <c r="R92" s="1">
        <v>8982132000</v>
      </c>
      <c r="S92" s="1">
        <v>24415869000</v>
      </c>
      <c r="T92" s="1">
        <v>15562908000</v>
      </c>
      <c r="U92" s="1">
        <v>8580418000</v>
      </c>
      <c r="V92" s="1">
        <v>3443431000</v>
      </c>
      <c r="W92" s="1">
        <v>5139792000</v>
      </c>
      <c r="X92" s="1">
        <v>2930300000</v>
      </c>
      <c r="Y92" s="1">
        <v>1691908000</v>
      </c>
      <c r="Z92" s="1">
        <v>703274000</v>
      </c>
    </row>
    <row r="93" spans="1:26" ht="16">
      <c r="A93" s="2" t="s">
        <v>82</v>
      </c>
      <c r="B93" s="1">
        <v>32344000</v>
      </c>
      <c r="C93" s="1">
        <v>1390959448</v>
      </c>
      <c r="D93" s="1">
        <v>685741000</v>
      </c>
      <c r="E93" s="1">
        <v>645886000</v>
      </c>
      <c r="F93" s="1">
        <v>610511000</v>
      </c>
      <c r="G93" s="1">
        <v>683250103</v>
      </c>
      <c r="H93" s="1">
        <v>308345000</v>
      </c>
      <c r="I93" s="1">
        <v>235670000</v>
      </c>
      <c r="J93" s="1">
        <v>109826000</v>
      </c>
      <c r="K93" s="1">
        <v>359280000</v>
      </c>
      <c r="L93" s="1">
        <v>226824000</v>
      </c>
      <c r="M93" s="1">
        <v>94163000</v>
      </c>
      <c r="N93" s="1">
        <v>42761000</v>
      </c>
      <c r="O93" s="1">
        <v>119294000</v>
      </c>
      <c r="P93" s="1">
        <v>60961000</v>
      </c>
      <c r="Q93" s="1">
        <v>33962000</v>
      </c>
      <c r="R93" s="1">
        <v>16770000</v>
      </c>
      <c r="S93" s="1">
        <v>27655000</v>
      </c>
      <c r="T93" s="1">
        <v>14009000</v>
      </c>
      <c r="U93" s="1">
        <v>8754000</v>
      </c>
      <c r="V93" s="1">
        <v>4860000</v>
      </c>
      <c r="W93" s="1">
        <v>165822000</v>
      </c>
      <c r="X93" s="1">
        <v>155798000</v>
      </c>
      <c r="Y93" s="1">
        <v>7014000</v>
      </c>
      <c r="Z93" s="1">
        <v>3391000</v>
      </c>
    </row>
    <row r="94" spans="1:26" ht="16">
      <c r="A94" s="2" t="s">
        <v>83</v>
      </c>
      <c r="B94" s="1">
        <v>-23480000</v>
      </c>
      <c r="C94" s="1">
        <v>-385913071</v>
      </c>
      <c r="D94" s="1">
        <v>-112366000</v>
      </c>
      <c r="E94" s="1">
        <v>-93015000</v>
      </c>
      <c r="F94" s="1">
        <v>-82483000</v>
      </c>
      <c r="G94" s="1">
        <v>-362010223</v>
      </c>
      <c r="H94" s="1">
        <v>-72316000</v>
      </c>
      <c r="I94" s="1">
        <v>-43538000</v>
      </c>
      <c r="J94" s="1">
        <v>-30311000</v>
      </c>
      <c r="K94" s="1">
        <v>-544735000</v>
      </c>
      <c r="L94" s="1">
        <v>-634984000</v>
      </c>
      <c r="M94" s="1">
        <v>-628273000</v>
      </c>
      <c r="N94" s="1">
        <v>-99378000</v>
      </c>
      <c r="O94" s="1">
        <v>-110401000</v>
      </c>
      <c r="P94" s="1">
        <v>-51028000</v>
      </c>
      <c r="Q94" s="1">
        <v>-47367000</v>
      </c>
      <c r="R94" s="1">
        <v>-36336000</v>
      </c>
      <c r="S94" s="1">
        <v>-27283000</v>
      </c>
      <c r="T94" s="1">
        <v>-15606000</v>
      </c>
      <c r="U94" s="1">
        <v>-15811000</v>
      </c>
      <c r="V94" s="1">
        <v>-10122000</v>
      </c>
      <c r="W94" s="1">
        <v>-100479000</v>
      </c>
      <c r="X94" s="1">
        <v>-40844000</v>
      </c>
      <c r="Y94" s="1">
        <v>-39066000</v>
      </c>
      <c r="Z94" s="1">
        <v>-12363000</v>
      </c>
    </row>
    <row r="95" spans="1:26" ht="16">
      <c r="A95" s="2" t="s">
        <v>72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</row>
    <row r="96" spans="1:26" ht="32">
      <c r="A96" s="2" t="s">
        <v>84</v>
      </c>
      <c r="B96" s="1">
        <v>62615000</v>
      </c>
      <c r="C96" s="1">
        <v>117761687</v>
      </c>
      <c r="D96" s="1">
        <v>80098000</v>
      </c>
      <c r="E96" s="1">
        <v>39021000</v>
      </c>
      <c r="F96" s="1">
        <v>13839000</v>
      </c>
      <c r="G96" s="1">
        <v>267894711</v>
      </c>
      <c r="H96" s="1">
        <v>159686000</v>
      </c>
      <c r="I96" s="1">
        <v>108737000</v>
      </c>
      <c r="J96" s="1">
        <v>43092000</v>
      </c>
      <c r="K96" s="1">
        <v>78356000</v>
      </c>
      <c r="L96" s="1">
        <v>37297000</v>
      </c>
      <c r="M96" s="1">
        <v>17706000</v>
      </c>
      <c r="N96" s="1">
        <v>-391000</v>
      </c>
      <c r="O96" s="1">
        <v>72996000</v>
      </c>
      <c r="P96" s="1">
        <v>29081000</v>
      </c>
      <c r="Q96" s="1">
        <v>15998000</v>
      </c>
      <c r="R96" s="1">
        <v>-2287000</v>
      </c>
      <c r="S96" s="1">
        <v>-6044000</v>
      </c>
      <c r="T96" s="1">
        <v>4425000</v>
      </c>
      <c r="U96" s="1">
        <v>-1300000</v>
      </c>
      <c r="V96" s="1">
        <v>-4223000</v>
      </c>
      <c r="W96" s="1">
        <v>7685000</v>
      </c>
      <c r="X96" s="1">
        <v>3104000</v>
      </c>
      <c r="Y96" s="1">
        <v>8777000</v>
      </c>
      <c r="Z96" s="1">
        <v>-4044000</v>
      </c>
    </row>
    <row r="97" spans="1:26" ht="16">
      <c r="A97" s="2" t="s">
        <v>85</v>
      </c>
      <c r="B97" s="1">
        <v>2498709000</v>
      </c>
      <c r="C97" s="1">
        <v>12073857070</v>
      </c>
      <c r="D97" s="1">
        <v>6578060000</v>
      </c>
      <c r="E97" s="1">
        <v>4328608000</v>
      </c>
      <c r="F97" s="1">
        <v>2439269000</v>
      </c>
      <c r="G97" s="1">
        <v>28150111303</v>
      </c>
      <c r="H97" s="1">
        <v>16249245000</v>
      </c>
      <c r="I97" s="1">
        <v>13668562000</v>
      </c>
      <c r="J97" s="1">
        <v>8933440000</v>
      </c>
      <c r="K97" s="1">
        <v>14642529000</v>
      </c>
      <c r="L97" s="1">
        <v>9317217000</v>
      </c>
      <c r="M97" s="1">
        <v>3146765000</v>
      </c>
      <c r="N97" s="1">
        <v>378979000</v>
      </c>
      <c r="O97" s="1">
        <v>23651877000</v>
      </c>
      <c r="P97" s="1">
        <v>23357760000</v>
      </c>
      <c r="Q97" s="1">
        <v>18909498000</v>
      </c>
      <c r="R97" s="1">
        <v>8848141000</v>
      </c>
      <c r="S97" s="1">
        <v>24865800000</v>
      </c>
      <c r="T97" s="1">
        <v>15604524000</v>
      </c>
      <c r="U97" s="1">
        <v>8607712000</v>
      </c>
      <c r="V97" s="1">
        <v>3459619000</v>
      </c>
      <c r="W97" s="1">
        <v>5646228000</v>
      </c>
      <c r="X97" s="1">
        <v>3533714000</v>
      </c>
      <c r="Y97" s="1">
        <v>1933479000</v>
      </c>
      <c r="Z97" s="1">
        <v>750954000</v>
      </c>
    </row>
    <row r="98" spans="1:26" ht="16">
      <c r="A98" s="2" t="s">
        <v>86</v>
      </c>
      <c r="B98" s="1">
        <v>1610324000</v>
      </c>
      <c r="C98" s="1">
        <v>6647233867</v>
      </c>
      <c r="D98" s="1">
        <v>4699056000</v>
      </c>
      <c r="E98" s="1">
        <v>3499501000</v>
      </c>
      <c r="F98" s="1">
        <v>2056730000</v>
      </c>
      <c r="G98" s="1">
        <v>6569467657</v>
      </c>
      <c r="H98" s="1">
        <v>3309099000</v>
      </c>
      <c r="I98" s="1">
        <v>1688802000</v>
      </c>
      <c r="J98" s="1">
        <v>632844000</v>
      </c>
      <c r="K98" s="1">
        <v>3296577000</v>
      </c>
      <c r="L98" s="1">
        <v>2788016000</v>
      </c>
      <c r="M98" s="1">
        <v>2459893000</v>
      </c>
      <c r="N98" s="1">
        <v>771802000</v>
      </c>
      <c r="O98" s="1">
        <v>1503360000</v>
      </c>
      <c r="P98" s="1">
        <v>1327985000</v>
      </c>
      <c r="Q98" s="1">
        <v>955389000</v>
      </c>
      <c r="R98" s="1">
        <v>631055000</v>
      </c>
      <c r="S98" s="1">
        <v>727511000</v>
      </c>
      <c r="T98" s="1">
        <v>1097534000</v>
      </c>
      <c r="U98" s="1">
        <v>931836000</v>
      </c>
      <c r="V98" s="1">
        <v>686897000</v>
      </c>
      <c r="W98" s="1">
        <v>554376000</v>
      </c>
      <c r="X98" s="1">
        <v>340965000</v>
      </c>
      <c r="Y98" s="1">
        <v>282217000</v>
      </c>
      <c r="Z98" s="1">
        <v>281889000</v>
      </c>
    </row>
    <row r="99" spans="1:26" ht="16">
      <c r="A99" s="2" t="s">
        <v>87</v>
      </c>
      <c r="B99" s="1">
        <v>-3212593000</v>
      </c>
      <c r="C99" s="1">
        <v>-14671112057</v>
      </c>
      <c r="D99" s="1">
        <v>-10815587000</v>
      </c>
      <c r="E99" s="1">
        <v>-7433987000</v>
      </c>
      <c r="F99" s="1">
        <v>-4074286000</v>
      </c>
      <c r="G99" s="1">
        <v>-17019898098</v>
      </c>
      <c r="H99" s="1">
        <v>-9604823000</v>
      </c>
      <c r="I99" s="1">
        <v>-5773352000</v>
      </c>
      <c r="J99" s="1">
        <v>-3203616000</v>
      </c>
      <c r="K99" s="1">
        <v>-9101977000</v>
      </c>
      <c r="L99" s="1">
        <v>-5933340000</v>
      </c>
      <c r="M99" s="1">
        <v>-4360375000</v>
      </c>
      <c r="N99" s="1">
        <v>-1164858000</v>
      </c>
      <c r="O99" s="1">
        <v>-3042783000</v>
      </c>
      <c r="P99" s="1">
        <v>-1835741000</v>
      </c>
      <c r="Q99" s="1">
        <v>-1220394000</v>
      </c>
      <c r="R99" s="1">
        <v>-717232000</v>
      </c>
      <c r="S99" s="1">
        <v>-1676598000</v>
      </c>
      <c r="T99" s="1">
        <v>-325373000</v>
      </c>
      <c r="U99" s="1">
        <v>-215370000</v>
      </c>
      <c r="V99" s="1">
        <v>-105642000</v>
      </c>
      <c r="W99" s="1">
        <v>-543079000</v>
      </c>
      <c r="X99" s="1">
        <v>-370002000</v>
      </c>
      <c r="Y99" s="1">
        <v>-266734000</v>
      </c>
      <c r="Z99" s="1">
        <v>-130846000</v>
      </c>
    </row>
    <row r="100" spans="1:26" ht="16">
      <c r="A100" s="2" t="s">
        <v>88</v>
      </c>
      <c r="B100" s="1">
        <v>8864000</v>
      </c>
      <c r="C100" s="1">
        <v>1005046376</v>
      </c>
      <c r="D100" s="1">
        <v>573375000</v>
      </c>
      <c r="E100" s="1">
        <v>552871000</v>
      </c>
      <c r="F100" s="1">
        <v>528028000</v>
      </c>
      <c r="G100" s="1">
        <v>321239880</v>
      </c>
      <c r="H100" s="1">
        <v>236029000</v>
      </c>
      <c r="I100" s="1">
        <v>192132000</v>
      </c>
      <c r="J100" s="1">
        <v>79515000</v>
      </c>
      <c r="K100" s="1">
        <v>-185455000</v>
      </c>
      <c r="L100" s="1">
        <v>-408160000</v>
      </c>
      <c r="M100" s="1">
        <v>-534110000</v>
      </c>
      <c r="N100" s="1">
        <v>-56617000</v>
      </c>
      <c r="O100" s="1">
        <v>8893000</v>
      </c>
      <c r="P100" s="1">
        <v>9933000</v>
      </c>
      <c r="Q100" s="1">
        <v>-13405000</v>
      </c>
      <c r="R100" s="1">
        <v>-19566000</v>
      </c>
      <c r="S100" s="1">
        <v>372000</v>
      </c>
      <c r="T100" s="1">
        <v>-1597000</v>
      </c>
      <c r="U100" s="1">
        <v>-7057000</v>
      </c>
      <c r="V100" s="1">
        <v>-5262000</v>
      </c>
      <c r="W100" s="1">
        <v>65343000</v>
      </c>
      <c r="X100" s="1">
        <v>114954000</v>
      </c>
      <c r="Y100" s="1">
        <v>-32052000</v>
      </c>
      <c r="Z100" s="1">
        <v>-8972000</v>
      </c>
    </row>
    <row r="101" spans="1:26" ht="16">
      <c r="A101" s="10" t="s">
        <v>89</v>
      </c>
      <c r="B101" s="1">
        <v>896440000</v>
      </c>
      <c r="C101" s="1">
        <v>4049978881</v>
      </c>
      <c r="D101" s="1">
        <v>461529000</v>
      </c>
      <c r="E101" s="1">
        <v>394122000</v>
      </c>
      <c r="F101" s="1">
        <v>421713000</v>
      </c>
      <c r="G101" s="1">
        <v>17699680862</v>
      </c>
      <c r="H101" s="1">
        <v>9953521000</v>
      </c>
      <c r="I101" s="1">
        <v>9584012000</v>
      </c>
      <c r="J101" s="1">
        <v>6362668000</v>
      </c>
      <c r="K101" s="1">
        <v>8837129000</v>
      </c>
      <c r="L101" s="1">
        <v>6171893000</v>
      </c>
      <c r="M101" s="1">
        <v>1246283000</v>
      </c>
      <c r="N101" s="1">
        <v>-14077000</v>
      </c>
      <c r="O101" s="1">
        <v>22112454000</v>
      </c>
      <c r="P101" s="1">
        <v>22850004000</v>
      </c>
      <c r="Q101" s="1">
        <v>18644493000</v>
      </c>
      <c r="R101" s="1">
        <v>8761964000</v>
      </c>
      <c r="S101" s="1">
        <v>23916713000</v>
      </c>
      <c r="T101" s="1">
        <v>16376685000</v>
      </c>
      <c r="U101" s="1">
        <v>9324178000</v>
      </c>
      <c r="V101" s="1">
        <v>4040874000</v>
      </c>
      <c r="W101" s="1">
        <v>5657525000</v>
      </c>
      <c r="X101" s="1">
        <v>3504677000</v>
      </c>
      <c r="Y101" s="1">
        <v>1948962000</v>
      </c>
      <c r="Z101" s="1">
        <v>901997000</v>
      </c>
    </row>
    <row r="102" spans="1:26" ht="16">
      <c r="A102" s="10" t="s">
        <v>90</v>
      </c>
      <c r="B102" s="1">
        <v>-490654000</v>
      </c>
      <c r="C102" s="1">
        <v>-3285920473</v>
      </c>
      <c r="D102" s="1">
        <v>2054762000</v>
      </c>
      <c r="E102" s="1">
        <v>1421822000</v>
      </c>
      <c r="F102" s="1">
        <v>26191000</v>
      </c>
      <c r="G102" s="1">
        <v>877927572</v>
      </c>
      <c r="H102" s="1">
        <v>1327398000</v>
      </c>
      <c r="I102" s="1">
        <v>805230000</v>
      </c>
      <c r="J102" s="1">
        <v>-515730000</v>
      </c>
      <c r="K102" s="1">
        <v>-4508065000</v>
      </c>
      <c r="L102" s="1">
        <v>-9998866000</v>
      </c>
      <c r="M102" s="1">
        <v>-5233781000</v>
      </c>
      <c r="N102" s="1">
        <v>79996000</v>
      </c>
      <c r="O102" s="1">
        <v>-3459400000</v>
      </c>
      <c r="P102" s="1">
        <v>-7419731000</v>
      </c>
      <c r="Q102" s="1">
        <v>-5893948000</v>
      </c>
      <c r="R102" s="1">
        <v>-2933339000</v>
      </c>
      <c r="S102" s="1">
        <v>-7838155000</v>
      </c>
      <c r="T102" s="1">
        <v>-5113890000</v>
      </c>
      <c r="U102" s="1">
        <v>-3273710000</v>
      </c>
      <c r="V102" s="1">
        <v>-1329112000</v>
      </c>
      <c r="W102" s="1">
        <v>-2147735000</v>
      </c>
      <c r="X102" s="1">
        <v>-1955455000</v>
      </c>
      <c r="Y102" s="1">
        <v>-1022104000</v>
      </c>
      <c r="Z102" s="1">
        <v>-579219000</v>
      </c>
    </row>
    <row r="103" spans="1:26" ht="16">
      <c r="A103" s="2" t="s">
        <v>91</v>
      </c>
      <c r="B103" s="1">
        <v>-166272000</v>
      </c>
      <c r="C103" s="1">
        <v>-804826089</v>
      </c>
      <c r="D103" s="1">
        <v>-551455000</v>
      </c>
      <c r="E103" s="1">
        <v>-288692000</v>
      </c>
      <c r="F103" s="1">
        <v>-121907000</v>
      </c>
      <c r="G103" s="1">
        <v>-725448481</v>
      </c>
      <c r="H103" s="1">
        <v>-2829720000</v>
      </c>
      <c r="I103" s="1">
        <v>-2418733000</v>
      </c>
      <c r="J103" s="1">
        <v>-1087151000</v>
      </c>
      <c r="K103" s="1">
        <v>-4761341000</v>
      </c>
      <c r="L103" s="1">
        <v>-3051065000</v>
      </c>
      <c r="M103" s="1">
        <v>-913426000</v>
      </c>
      <c r="N103" s="1">
        <v>-93961000</v>
      </c>
      <c r="O103" s="1">
        <v>-7779424000</v>
      </c>
      <c r="P103" s="1">
        <v>-7485971000</v>
      </c>
      <c r="Q103" s="1">
        <v>-5835996000</v>
      </c>
      <c r="R103" s="1">
        <v>-3183740000</v>
      </c>
      <c r="S103" s="1">
        <v>-6173465000</v>
      </c>
      <c r="T103" s="1">
        <v>-4682162000</v>
      </c>
      <c r="U103" s="1">
        <v>-2785457000</v>
      </c>
      <c r="V103" s="1">
        <v>-877800000</v>
      </c>
      <c r="W103" s="1">
        <v>-2151998000</v>
      </c>
      <c r="X103" s="1">
        <v>-1589921000</v>
      </c>
      <c r="Y103" s="1">
        <v>-900305000</v>
      </c>
      <c r="Z103" s="1">
        <v>-402125000</v>
      </c>
    </row>
    <row r="104" spans="1:26" ht="16">
      <c r="A104" s="2" t="s">
        <v>92</v>
      </c>
      <c r="B104" s="1">
        <v>-324382000</v>
      </c>
      <c r="C104" s="1">
        <v>-2481094384</v>
      </c>
      <c r="D104" s="1">
        <v>2606217000</v>
      </c>
      <c r="E104" s="1">
        <v>1710514000</v>
      </c>
      <c r="F104" s="1">
        <v>148098000</v>
      </c>
      <c r="G104" s="1">
        <v>1603376053</v>
      </c>
      <c r="H104" s="1">
        <v>4157118000</v>
      </c>
      <c r="I104" s="1">
        <v>3223963000</v>
      </c>
      <c r="J104" s="1">
        <v>571421000</v>
      </c>
      <c r="K104" s="1">
        <v>253276000</v>
      </c>
      <c r="L104" s="1">
        <v>-6947801000</v>
      </c>
      <c r="M104" s="1">
        <v>-4320355000</v>
      </c>
      <c r="N104" s="1">
        <v>173957000</v>
      </c>
      <c r="O104" s="1">
        <v>4320024000</v>
      </c>
      <c r="P104" s="1">
        <v>66240000</v>
      </c>
      <c r="Q104" s="1">
        <v>-57952000</v>
      </c>
      <c r="R104" s="1">
        <v>250401000</v>
      </c>
      <c r="S104" s="1">
        <v>-1664690000</v>
      </c>
      <c r="T104" s="1">
        <v>-431728000</v>
      </c>
      <c r="U104" s="1">
        <v>-488253000</v>
      </c>
      <c r="V104" s="1">
        <v>-451312000</v>
      </c>
      <c r="W104" s="1">
        <v>4263000</v>
      </c>
      <c r="X104" s="1">
        <v>-365534000</v>
      </c>
      <c r="Y104" s="1">
        <v>-121799000</v>
      </c>
      <c r="Z104" s="1">
        <v>-177094000</v>
      </c>
    </row>
    <row r="105" spans="1:26" ht="16">
      <c r="A105" s="2" t="s">
        <v>93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</row>
    <row r="106" spans="1:26" ht="16">
      <c r="A106" s="2" t="s">
        <v>94</v>
      </c>
      <c r="B106" s="1">
        <v>405786000</v>
      </c>
      <c r="C106" s="1">
        <v>764058407</v>
      </c>
      <c r="D106" s="1">
        <v>2516291000</v>
      </c>
      <c r="E106" s="1">
        <v>1815944000</v>
      </c>
      <c r="F106" s="1">
        <v>447904000</v>
      </c>
      <c r="G106" s="1">
        <v>18577608435</v>
      </c>
      <c r="H106" s="1">
        <v>11280919000</v>
      </c>
      <c r="I106" s="1">
        <v>10389242000</v>
      </c>
      <c r="J106" s="1">
        <v>5846938000</v>
      </c>
      <c r="K106" s="1">
        <v>4329064000</v>
      </c>
      <c r="L106" s="1">
        <v>-3826973000</v>
      </c>
      <c r="M106" s="1">
        <v>-3987498000</v>
      </c>
      <c r="N106" s="1">
        <v>65919000</v>
      </c>
      <c r="O106" s="1">
        <v>18653054000</v>
      </c>
      <c r="P106" s="1">
        <v>15430273000</v>
      </c>
      <c r="Q106" s="1">
        <v>12750545000</v>
      </c>
      <c r="R106" s="1">
        <v>5828625000</v>
      </c>
      <c r="S106" s="1">
        <v>16078558000</v>
      </c>
      <c r="T106" s="1">
        <v>11262795000</v>
      </c>
      <c r="U106" s="1">
        <v>6050468000</v>
      </c>
      <c r="V106" s="1">
        <v>2711762000</v>
      </c>
      <c r="W106" s="1">
        <v>3509790000</v>
      </c>
      <c r="X106" s="1">
        <v>1549222000</v>
      </c>
      <c r="Y106" s="1">
        <v>926858000</v>
      </c>
      <c r="Z106" s="1">
        <v>322778000</v>
      </c>
    </row>
    <row r="107" spans="1:26" ht="16">
      <c r="A107" s="2" t="s">
        <v>95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</row>
    <row r="108" spans="1:26" ht="16">
      <c r="A108" s="2" t="s">
        <v>96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</row>
    <row r="109" spans="1:26" ht="16">
      <c r="A109" s="2" t="s">
        <v>97</v>
      </c>
      <c r="B109" s="1">
        <v>405786000</v>
      </c>
      <c r="C109" s="1">
        <v>764058407</v>
      </c>
      <c r="D109" s="1">
        <v>2516291000</v>
      </c>
      <c r="E109" s="1">
        <v>1815944000</v>
      </c>
      <c r="F109" s="1">
        <v>447904000</v>
      </c>
      <c r="G109" s="1">
        <v>18577608435</v>
      </c>
      <c r="H109" s="1">
        <v>11280919000</v>
      </c>
      <c r="I109" s="1">
        <v>10389242000</v>
      </c>
      <c r="J109" s="1">
        <v>5846938000</v>
      </c>
      <c r="K109" s="1">
        <v>4329064000</v>
      </c>
      <c r="L109" s="1">
        <v>-3826973000</v>
      </c>
      <c r="M109" s="1">
        <v>-3987498000</v>
      </c>
      <c r="N109" s="1">
        <v>65919000</v>
      </c>
      <c r="O109" s="1">
        <v>18653054000</v>
      </c>
      <c r="P109" s="1">
        <v>15430273000</v>
      </c>
      <c r="Q109" s="1">
        <v>12750545000</v>
      </c>
      <c r="R109" s="1">
        <v>5828625000</v>
      </c>
      <c r="S109" s="1">
        <v>16078558000</v>
      </c>
      <c r="T109" s="1">
        <v>11262795000</v>
      </c>
      <c r="U109" s="1">
        <v>6050468000</v>
      </c>
      <c r="V109" s="1">
        <v>2711762000</v>
      </c>
      <c r="W109" s="1">
        <v>3509790000</v>
      </c>
      <c r="X109" s="1">
        <v>1549222000</v>
      </c>
      <c r="Y109" s="1">
        <v>926858000</v>
      </c>
      <c r="Z109" s="1">
        <v>322778000</v>
      </c>
    </row>
    <row r="110" spans="1:26" ht="16">
      <c r="A110" s="2" t="s">
        <v>98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</row>
    <row r="111" spans="1:26" ht="16">
      <c r="A111" s="2" t="s">
        <v>60</v>
      </c>
      <c r="B111" s="1">
        <v>21930000</v>
      </c>
      <c r="C111" s="1">
        <v>200871725</v>
      </c>
      <c r="D111" s="1">
        <v>132190000</v>
      </c>
      <c r="E111" s="1">
        <v>83000000</v>
      </c>
      <c r="F111" s="1">
        <v>21515000</v>
      </c>
      <c r="G111" s="1">
        <v>931558086</v>
      </c>
      <c r="H111" s="1">
        <v>493449000</v>
      </c>
      <c r="I111" s="1">
        <v>402447000</v>
      </c>
      <c r="J111" s="1">
        <v>246015000</v>
      </c>
      <c r="K111" s="1">
        <v>295975000</v>
      </c>
      <c r="L111" s="1">
        <v>40456000</v>
      </c>
      <c r="M111" s="1">
        <v>-78701000</v>
      </c>
      <c r="N111" s="1">
        <v>-24392000</v>
      </c>
      <c r="O111" s="1">
        <v>648020000</v>
      </c>
      <c r="P111" s="1">
        <v>599933000</v>
      </c>
      <c r="Q111" s="1">
        <v>485064000</v>
      </c>
      <c r="R111" s="1">
        <v>202564000</v>
      </c>
      <c r="S111" s="1">
        <v>551476000</v>
      </c>
      <c r="T111" s="1">
        <v>459014000</v>
      </c>
      <c r="U111" s="1">
        <v>249313000</v>
      </c>
      <c r="V111" s="1">
        <v>94083000</v>
      </c>
      <c r="W111" s="1">
        <v>200697000</v>
      </c>
      <c r="X111" s="1">
        <v>99613000</v>
      </c>
      <c r="Y111" s="1">
        <v>58857000</v>
      </c>
      <c r="Z111" s="1">
        <v>22340000</v>
      </c>
    </row>
    <row r="112" spans="1:26" ht="16">
      <c r="A112" s="2" t="s">
        <v>99</v>
      </c>
      <c r="B112" s="1">
        <v>383856000</v>
      </c>
      <c r="C112" s="1">
        <v>563186682</v>
      </c>
      <c r="D112" s="1">
        <v>2384101000</v>
      </c>
      <c r="E112" s="1">
        <v>1732944000</v>
      </c>
      <c r="F112" s="1">
        <v>426389000</v>
      </c>
      <c r="G112" s="1">
        <v>17646050349</v>
      </c>
      <c r="H112" s="1">
        <v>10787470000</v>
      </c>
      <c r="I112" s="1">
        <v>9986795000</v>
      </c>
      <c r="J112" s="1">
        <v>5600923000</v>
      </c>
      <c r="K112" s="1">
        <v>4033089000</v>
      </c>
      <c r="L112" s="1">
        <v>-3867429000</v>
      </c>
      <c r="M112" s="1">
        <v>-3908797000</v>
      </c>
      <c r="N112" s="1">
        <v>90311000</v>
      </c>
      <c r="O112" s="1">
        <v>18005034000</v>
      </c>
      <c r="P112" s="1">
        <v>14830340000</v>
      </c>
      <c r="Q112" s="1">
        <v>12265481000</v>
      </c>
      <c r="R112" s="1">
        <v>5626061000</v>
      </c>
      <c r="S112" s="1">
        <v>15527082000</v>
      </c>
      <c r="T112" s="1">
        <v>10803781000</v>
      </c>
      <c r="U112" s="1">
        <v>5801155000</v>
      </c>
      <c r="V112" s="1">
        <v>2617679000</v>
      </c>
      <c r="W112" s="1">
        <v>3309093000</v>
      </c>
      <c r="X112" s="1">
        <v>1449609000</v>
      </c>
      <c r="Y112" s="1">
        <v>868001000</v>
      </c>
      <c r="Z112" s="1">
        <v>300438000</v>
      </c>
    </row>
    <row r="113" spans="1:26" ht="16">
      <c r="A113" s="2" t="s">
        <v>100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3</v>
      </c>
      <c r="H113" s="1">
        <v>2</v>
      </c>
      <c r="I113" s="1">
        <v>1</v>
      </c>
      <c r="J113" s="1">
        <v>1</v>
      </c>
      <c r="K113" s="1">
        <v>1</v>
      </c>
      <c r="L113" s="1">
        <v>-1</v>
      </c>
      <c r="M113" s="1">
        <v>-1</v>
      </c>
      <c r="N113" s="1">
        <v>0</v>
      </c>
      <c r="O113" s="1">
        <v>5</v>
      </c>
      <c r="P113" s="1">
        <v>4</v>
      </c>
      <c r="Q113" s="1">
        <v>4</v>
      </c>
      <c r="R113" s="1">
        <v>2</v>
      </c>
      <c r="S113" s="1">
        <v>4</v>
      </c>
      <c r="T113" s="1">
        <v>3</v>
      </c>
      <c r="U113" s="1">
        <v>2</v>
      </c>
      <c r="V113" s="1">
        <v>1</v>
      </c>
      <c r="W113" s="1">
        <v>1</v>
      </c>
      <c r="X113" s="1">
        <v>0</v>
      </c>
      <c r="Y113" s="1">
        <v>0</v>
      </c>
      <c r="Z113" s="1">
        <v>0</v>
      </c>
    </row>
    <row r="114" spans="1:26" ht="16">
      <c r="A114" s="2" t="s">
        <v>101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3</v>
      </c>
      <c r="H114" s="1">
        <v>2</v>
      </c>
      <c r="I114" s="1">
        <v>1</v>
      </c>
      <c r="J114" s="1">
        <v>1</v>
      </c>
      <c r="K114" s="1">
        <v>1</v>
      </c>
      <c r="L114" s="1">
        <v>-1</v>
      </c>
      <c r="M114" s="1">
        <v>-1</v>
      </c>
      <c r="N114" s="1">
        <v>0</v>
      </c>
      <c r="O114" s="1">
        <v>5</v>
      </c>
      <c r="P114" s="1">
        <v>4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</row>
    <row r="115" spans="1:26" ht="16">
      <c r="A115" s="2" t="s">
        <v>102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3</v>
      </c>
      <c r="H115" s="1">
        <v>2</v>
      </c>
      <c r="I115" s="1">
        <v>1</v>
      </c>
      <c r="J115" s="1">
        <v>1</v>
      </c>
      <c r="K115" s="1">
        <v>1</v>
      </c>
      <c r="L115" s="1">
        <v>-1</v>
      </c>
      <c r="M115" s="1">
        <v>-1</v>
      </c>
      <c r="N115" s="1">
        <v>0</v>
      </c>
      <c r="O115" s="1">
        <v>5</v>
      </c>
      <c r="P115" s="1">
        <v>4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</row>
    <row r="116" spans="1:26" ht="16">
      <c r="A116" s="2" t="s">
        <v>103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3</v>
      </c>
      <c r="H116" s="1">
        <v>2</v>
      </c>
      <c r="I116" s="1">
        <v>1</v>
      </c>
      <c r="J116" s="1">
        <v>1</v>
      </c>
      <c r="K116" s="1">
        <v>1</v>
      </c>
      <c r="L116" s="1">
        <v>-1</v>
      </c>
      <c r="M116" s="1">
        <v>-1</v>
      </c>
      <c r="N116" s="1">
        <v>0</v>
      </c>
      <c r="O116" s="1">
        <v>5</v>
      </c>
      <c r="P116" s="1">
        <v>4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</row>
    <row r="117" spans="1:26" ht="16">
      <c r="A117" s="2" t="s">
        <v>104</v>
      </c>
      <c r="B117" s="1"/>
      <c r="C117" s="1"/>
      <c r="D117" s="1"/>
      <c r="E117" s="1"/>
      <c r="F117" s="1"/>
      <c r="G117" s="1"/>
      <c r="H117" s="1"/>
      <c r="I117" s="1"/>
      <c r="N117" s="1"/>
      <c r="O117" s="1"/>
      <c r="P117" s="1"/>
      <c r="Q117" s="1"/>
      <c r="R117" s="1"/>
      <c r="S117" s="1"/>
      <c r="T117" s="1"/>
      <c r="U117" s="1"/>
    </row>
    <row r="118" spans="1:26" ht="16">
      <c r="A118" s="2" t="s">
        <v>105</v>
      </c>
      <c r="B118" s="1">
        <v>3676129000</v>
      </c>
      <c r="C118" s="1">
        <v>12429722573</v>
      </c>
      <c r="D118" s="1">
        <v>7951219000</v>
      </c>
      <c r="E118" s="1">
        <v>4982030000</v>
      </c>
      <c r="F118" s="1">
        <v>2368275000</v>
      </c>
      <c r="G118" s="1">
        <v>11567261383</v>
      </c>
      <c r="H118" s="1">
        <v>6315906000</v>
      </c>
      <c r="I118" s="1">
        <v>4110744000</v>
      </c>
      <c r="J118" s="1">
        <v>1988437000</v>
      </c>
      <c r="K118" s="1">
        <v>5372718000</v>
      </c>
      <c r="L118" s="1">
        <v>3617629000</v>
      </c>
      <c r="M118" s="1">
        <v>2314170000</v>
      </c>
      <c r="N118" s="1">
        <v>1057771000</v>
      </c>
      <c r="O118" s="1">
        <v>3493831000</v>
      </c>
      <c r="P118" s="1">
        <v>2642081000</v>
      </c>
      <c r="Q118" s="1">
        <v>1668159000</v>
      </c>
      <c r="R118" s="1">
        <v>782075000</v>
      </c>
      <c r="S118" s="1">
        <v>2051931000</v>
      </c>
      <c r="T118" s="1">
        <v>1325825000</v>
      </c>
      <c r="U118" s="1">
        <v>890226000</v>
      </c>
      <c r="V118" s="1">
        <v>409835000</v>
      </c>
      <c r="W118" s="1">
        <v>1525473000</v>
      </c>
      <c r="X118" s="1">
        <v>1049722000</v>
      </c>
      <c r="Y118" s="1">
        <v>649938000</v>
      </c>
      <c r="Z118" s="1">
        <v>302964000</v>
      </c>
    </row>
    <row r="119" spans="1:26" ht="16">
      <c r="A119" s="2" t="s">
        <v>106</v>
      </c>
      <c r="B119" s="1">
        <v>159587000</v>
      </c>
      <c r="C119" s="1">
        <v>439967003</v>
      </c>
      <c r="D119" s="1">
        <v>343344000</v>
      </c>
      <c r="E119" s="1">
        <v>232778000</v>
      </c>
      <c r="F119" s="1">
        <v>131618000</v>
      </c>
      <c r="G119" s="1">
        <v>495695794</v>
      </c>
      <c r="H119" s="1">
        <v>305658000</v>
      </c>
      <c r="I119" s="1">
        <v>202959000</v>
      </c>
      <c r="J119" s="1">
        <v>120561000</v>
      </c>
      <c r="K119" s="1">
        <v>511408000</v>
      </c>
      <c r="L119" s="1">
        <v>454945000</v>
      </c>
      <c r="M119" s="1">
        <v>387751000</v>
      </c>
      <c r="N119" s="1">
        <v>86093000</v>
      </c>
      <c r="O119" s="1">
        <v>146603000</v>
      </c>
      <c r="P119" s="1">
        <v>101938000</v>
      </c>
      <c r="Q119" s="1">
        <v>56871000</v>
      </c>
      <c r="R119" s="1">
        <v>29062000</v>
      </c>
      <c r="S119" s="1">
        <v>80464000</v>
      </c>
      <c r="T119" s="1">
        <v>54830000</v>
      </c>
      <c r="U119" s="1">
        <v>35463000</v>
      </c>
      <c r="V119" s="1">
        <v>16963000</v>
      </c>
      <c r="W119" s="1">
        <v>55790000</v>
      </c>
      <c r="X119" s="1">
        <v>44854000</v>
      </c>
      <c r="Y119" s="1">
        <v>30988000</v>
      </c>
      <c r="Z119" s="1">
        <v>13453000</v>
      </c>
    </row>
    <row r="120" spans="1:26" ht="16">
      <c r="A120" s="2" t="s">
        <v>107</v>
      </c>
      <c r="B120" s="1">
        <v>-3212593000</v>
      </c>
      <c r="C120" s="1">
        <v>-14671112057</v>
      </c>
      <c r="D120" s="1">
        <v>-10815587000</v>
      </c>
      <c r="E120" s="1">
        <v>-7433987000</v>
      </c>
      <c r="F120" s="1">
        <v>-4074286000</v>
      </c>
      <c r="G120" s="1">
        <v>-17019898098</v>
      </c>
      <c r="H120" s="1">
        <v>-9604823000</v>
      </c>
      <c r="I120" s="1">
        <v>-5773352000</v>
      </c>
      <c r="J120" s="1">
        <v>-3203616000</v>
      </c>
      <c r="K120" s="1">
        <v>-9101977000</v>
      </c>
      <c r="L120" s="1">
        <v>-5933340000</v>
      </c>
      <c r="M120" s="1">
        <v>-4360375000</v>
      </c>
      <c r="N120" s="1">
        <v>-1164858000</v>
      </c>
      <c r="O120" s="1">
        <v>-3042783000</v>
      </c>
      <c r="P120" s="1">
        <v>-1835741000</v>
      </c>
      <c r="Q120" s="1">
        <v>-1220394000</v>
      </c>
      <c r="R120" s="1">
        <v>-717232000</v>
      </c>
      <c r="S120" s="1">
        <v>-1676598000</v>
      </c>
      <c r="T120" s="1">
        <v>-325373000</v>
      </c>
      <c r="U120" s="1">
        <v>-215370000</v>
      </c>
      <c r="V120" s="1">
        <v>-105642000</v>
      </c>
      <c r="W120" s="1">
        <v>-543079000</v>
      </c>
      <c r="X120" s="1">
        <v>-370002000</v>
      </c>
      <c r="Y120" s="1">
        <v>-266734000</v>
      </c>
      <c r="Z120" s="1">
        <v>-130846000</v>
      </c>
    </row>
    <row r="121" spans="1:26" ht="16">
      <c r="A121" s="2" t="s">
        <v>108</v>
      </c>
      <c r="B121" s="1">
        <v>48394620000</v>
      </c>
      <c r="C121" s="1">
        <v>161460104754</v>
      </c>
      <c r="D121" s="1">
        <v>107400847000</v>
      </c>
      <c r="E121" s="1">
        <v>67628161000</v>
      </c>
      <c r="F121" s="1">
        <v>36761452000</v>
      </c>
      <c r="G121" s="1">
        <v>205133131730</v>
      </c>
      <c r="H121" s="1">
        <v>113011359000</v>
      </c>
      <c r="I121" s="1">
        <v>77618410000</v>
      </c>
      <c r="J121" s="1">
        <v>40136578000</v>
      </c>
      <c r="K121" s="1">
        <v>124640941000</v>
      </c>
      <c r="L121" s="1">
        <v>85949094000</v>
      </c>
      <c r="M121" s="1">
        <v>54006534000</v>
      </c>
      <c r="N121" s="1">
        <v>22389402000</v>
      </c>
      <c r="O121" s="1">
        <v>102953785000</v>
      </c>
      <c r="P121" s="1">
        <v>80846370000</v>
      </c>
      <c r="Q121" s="1">
        <v>51890261000</v>
      </c>
      <c r="R121" s="1">
        <v>23390190000</v>
      </c>
      <c r="S121" s="1">
        <v>51422587000</v>
      </c>
      <c r="T121" s="1">
        <v>33372124000</v>
      </c>
      <c r="U121" s="1">
        <v>20234451000</v>
      </c>
      <c r="V121" s="1">
        <v>8981961000</v>
      </c>
      <c r="W121" s="1">
        <v>26045753000</v>
      </c>
      <c r="X121" s="1">
        <v>17573681000</v>
      </c>
      <c r="Y121" s="1">
        <v>10875927000</v>
      </c>
      <c r="Z121" s="1">
        <v>5448761000</v>
      </c>
    </row>
    <row r="122" spans="1:26" ht="16">
      <c r="A122" s="2" t="s">
        <v>109</v>
      </c>
      <c r="B122" s="1">
        <v>9325184000</v>
      </c>
      <c r="C122" s="1">
        <v>49015984509</v>
      </c>
      <c r="D122" s="1">
        <v>31922880000</v>
      </c>
      <c r="E122" s="1">
        <v>22028149000</v>
      </c>
      <c r="F122" s="1">
        <v>15205230000</v>
      </c>
      <c r="G122" s="1">
        <v>53033911874</v>
      </c>
      <c r="H122" s="1">
        <v>27837788000</v>
      </c>
      <c r="I122" s="1">
        <v>17269236000</v>
      </c>
      <c r="J122" s="1">
        <v>6974068000</v>
      </c>
      <c r="K122" s="1">
        <v>15902785000</v>
      </c>
      <c r="L122" s="1">
        <v>9991111000</v>
      </c>
      <c r="M122" s="1">
        <v>5954704000</v>
      </c>
      <c r="N122" s="1">
        <v>2311836000</v>
      </c>
      <c r="O122" s="1">
        <v>18515681000</v>
      </c>
      <c r="P122" s="1">
        <v>15065496000</v>
      </c>
      <c r="Q122" s="1">
        <v>9008765000</v>
      </c>
      <c r="R122" s="1">
        <v>4594283000</v>
      </c>
      <c r="S122" s="1">
        <v>14038005000</v>
      </c>
      <c r="T122" s="1">
        <v>7969145000</v>
      </c>
      <c r="U122" s="1">
        <v>4052464000</v>
      </c>
      <c r="V122" s="1">
        <v>1199307000</v>
      </c>
      <c r="W122" s="1">
        <v>5190683000</v>
      </c>
      <c r="X122" s="1">
        <v>3800245000</v>
      </c>
      <c r="Y122" s="1">
        <v>2527870000</v>
      </c>
      <c r="Z122" s="1">
        <v>702608000</v>
      </c>
    </row>
    <row r="123" spans="1:26" ht="16">
      <c r="A123" s="2" t="s">
        <v>110</v>
      </c>
      <c r="B123" s="1">
        <v>-5100280000</v>
      </c>
      <c r="C123" s="1">
        <v>-486394050</v>
      </c>
      <c r="D123" s="1">
        <v>-536703000</v>
      </c>
      <c r="E123" s="1">
        <v>11968168000</v>
      </c>
      <c r="F123" s="1">
        <v>28471240000</v>
      </c>
      <c r="G123" s="1">
        <v>6612844066</v>
      </c>
      <c r="H123" s="1">
        <v>4376736000</v>
      </c>
      <c r="I123" s="1">
        <v>3374712000</v>
      </c>
      <c r="J123" s="1">
        <v>1227248000</v>
      </c>
      <c r="K123" s="1">
        <v>609319000</v>
      </c>
      <c r="L123" s="1">
        <v>-154253000</v>
      </c>
      <c r="M123" s="1">
        <v>89911000</v>
      </c>
      <c r="N123" s="1">
        <v>7026138000</v>
      </c>
      <c r="O123" s="1">
        <v>-4740136000</v>
      </c>
      <c r="P123" s="1">
        <v>-8003651000</v>
      </c>
      <c r="Q123" s="1">
        <v>-9664157000</v>
      </c>
      <c r="R123" s="1">
        <v>-8110523000</v>
      </c>
      <c r="S123" s="1">
        <v>3418743000</v>
      </c>
      <c r="T123" s="1">
        <v>1974195000</v>
      </c>
      <c r="U123" s="1">
        <v>-3636446000</v>
      </c>
      <c r="V123" s="1">
        <v>-3264936000</v>
      </c>
      <c r="W123" s="1">
        <v>-1106624000</v>
      </c>
      <c r="X123" s="1">
        <v>748787000</v>
      </c>
      <c r="Y123" s="1">
        <v>1931610000</v>
      </c>
      <c r="Z123" s="1">
        <v>9185328000</v>
      </c>
    </row>
    <row r="124" spans="1:26" ht="16">
      <c r="A124" s="2" t="s">
        <v>111</v>
      </c>
      <c r="B124" s="1">
        <v>-9671157000</v>
      </c>
      <c r="C124" s="1">
        <v>-7888174453</v>
      </c>
      <c r="D124" s="1">
        <v>-5610573000</v>
      </c>
      <c r="E124" s="1">
        <v>6384496000</v>
      </c>
      <c r="F124" s="1">
        <v>23842309000</v>
      </c>
      <c r="G124" s="1">
        <v>674835035</v>
      </c>
      <c r="H124" s="1">
        <v>-2150604000</v>
      </c>
      <c r="I124" s="1">
        <v>-4526779000</v>
      </c>
      <c r="J124" s="1">
        <v>-5313740000</v>
      </c>
      <c r="K124" s="1">
        <v>-659605000</v>
      </c>
      <c r="L124" s="1">
        <v>-6556033000</v>
      </c>
      <c r="M124" s="1">
        <v>-6208192000</v>
      </c>
      <c r="N124" s="1">
        <v>3554226000</v>
      </c>
      <c r="O124" s="1">
        <v>-7556744000</v>
      </c>
      <c r="P124" s="1">
        <v>-10668417000</v>
      </c>
      <c r="Q124" s="1">
        <v>-11866319000</v>
      </c>
      <c r="R124" s="1">
        <v>-9972845000</v>
      </c>
      <c r="S124" s="1">
        <v>1992663000</v>
      </c>
      <c r="T124" s="1">
        <v>917829000</v>
      </c>
      <c r="U124" s="1">
        <v>-4946950000</v>
      </c>
      <c r="V124" s="1">
        <v>-4167238000</v>
      </c>
      <c r="W124" s="1">
        <v>-1770023000</v>
      </c>
      <c r="X124" s="1">
        <v>-61052000</v>
      </c>
      <c r="Y124" s="1">
        <v>1184683000</v>
      </c>
      <c r="Z124" s="1">
        <v>8697022000</v>
      </c>
    </row>
    <row r="125" spans="1:26" ht="16">
      <c r="A125" s="2" t="s">
        <v>112</v>
      </c>
      <c r="B125" s="1">
        <v>-5256331000</v>
      </c>
      <c r="C125" s="1">
        <v>-1881357860</v>
      </c>
      <c r="D125" s="1">
        <v>-4121422000</v>
      </c>
      <c r="E125" s="1">
        <v>-1708378000</v>
      </c>
      <c r="F125" s="1">
        <v>7419576000</v>
      </c>
      <c r="G125" s="1">
        <v>3944656300</v>
      </c>
      <c r="H125" s="1">
        <v>2692243000</v>
      </c>
      <c r="I125" s="1">
        <v>1254617000</v>
      </c>
      <c r="J125" s="1">
        <v>-655181000</v>
      </c>
      <c r="K125" s="1">
        <v>609319000</v>
      </c>
      <c r="L125" s="1">
        <v>-1072038000</v>
      </c>
      <c r="M125" s="1">
        <v>-1388775000</v>
      </c>
      <c r="N125" s="1">
        <v>6064401000</v>
      </c>
      <c r="O125" s="1">
        <v>-5659030000</v>
      </c>
      <c r="P125" s="1">
        <v>-9146407000</v>
      </c>
      <c r="Q125" s="1">
        <v>-12686139000</v>
      </c>
      <c r="R125" s="1">
        <v>-9367000000</v>
      </c>
      <c r="S125" s="1">
        <v>1630353000</v>
      </c>
      <c r="T125" s="1">
        <v>-2800002000</v>
      </c>
      <c r="U125" s="1">
        <v>-5300167000</v>
      </c>
      <c r="V125" s="1">
        <v>-4080555000</v>
      </c>
      <c r="W125" s="1">
        <v>-1303197000</v>
      </c>
      <c r="X125" s="1">
        <v>-130979000</v>
      </c>
      <c r="Y125" s="1">
        <v>959591000</v>
      </c>
      <c r="Z125" s="1">
        <v>-945050000</v>
      </c>
    </row>
    <row r="126" spans="1:26" ht="17">
      <c r="A126" s="3" t="s">
        <v>113</v>
      </c>
      <c r="B126" s="1"/>
      <c r="C126" s="1"/>
      <c r="D126" s="1"/>
      <c r="E126" s="1"/>
      <c r="F126" s="1"/>
      <c r="G126" s="1"/>
      <c r="H126" s="1"/>
      <c r="I126" s="1"/>
      <c r="N126" s="1"/>
      <c r="O126" s="1"/>
      <c r="P126" s="1"/>
      <c r="Q126" s="1"/>
      <c r="R126" s="1"/>
      <c r="S126" s="1"/>
      <c r="T126" s="1"/>
      <c r="U126" s="1"/>
    </row>
    <row r="127" spans="1:26" ht="16">
      <c r="A127" s="2" t="s">
        <v>114</v>
      </c>
      <c r="B127" s="1">
        <v>18061920000</v>
      </c>
      <c r="C127" s="1">
        <v>71587251092</v>
      </c>
      <c r="D127" s="1">
        <v>47211505000</v>
      </c>
      <c r="E127" s="1">
        <v>34035787000</v>
      </c>
      <c r="F127" s="1">
        <v>19077458000</v>
      </c>
      <c r="G127" s="1">
        <v>40913932763</v>
      </c>
      <c r="H127" s="1">
        <v>12741710000</v>
      </c>
      <c r="I127" s="1">
        <v>7814557000</v>
      </c>
      <c r="J127" s="1">
        <v>2562131000</v>
      </c>
      <c r="K127" s="1">
        <v>13068139000</v>
      </c>
      <c r="L127" s="1">
        <v>7156472000</v>
      </c>
      <c r="M127" s="1">
        <v>2811493000</v>
      </c>
      <c r="N127" s="1">
        <v>4007685000</v>
      </c>
      <c r="O127" s="1">
        <v>8940221000</v>
      </c>
      <c r="P127" s="1">
        <v>754598000</v>
      </c>
      <c r="Q127" s="1">
        <v>566197000</v>
      </c>
      <c r="R127" s="1">
        <v>3538617000</v>
      </c>
      <c r="S127" s="1">
        <v>5716945000</v>
      </c>
      <c r="T127" s="1">
        <v>6027960000</v>
      </c>
      <c r="U127" s="1">
        <v>4634825000</v>
      </c>
      <c r="V127" s="1">
        <v>2396006000</v>
      </c>
      <c r="W127" s="1">
        <v>7315515000</v>
      </c>
      <c r="X127" s="1">
        <v>5432084000</v>
      </c>
      <c r="Y127" s="1">
        <v>3149292000</v>
      </c>
      <c r="Z127" s="1">
        <v>2189025000</v>
      </c>
    </row>
    <row r="128" spans="1:26" ht="16">
      <c r="A128" s="2" t="s">
        <v>115</v>
      </c>
      <c r="B128" s="1">
        <v>405786000</v>
      </c>
      <c r="C128" s="1">
        <v>764058407</v>
      </c>
      <c r="D128" s="1">
        <v>2516291000</v>
      </c>
      <c r="E128" s="1">
        <v>1815944000</v>
      </c>
      <c r="F128" s="1">
        <v>447904000</v>
      </c>
      <c r="G128" s="1">
        <v>18577608435</v>
      </c>
      <c r="H128" s="1">
        <v>11280919000</v>
      </c>
      <c r="I128" s="1">
        <v>10389242000</v>
      </c>
      <c r="J128" s="1">
        <v>5846938000</v>
      </c>
      <c r="K128" s="1">
        <v>4329064000</v>
      </c>
      <c r="L128" s="1">
        <v>-3826973000</v>
      </c>
      <c r="M128" s="1">
        <v>-3987498000</v>
      </c>
      <c r="N128" s="1">
        <v>65919000</v>
      </c>
      <c r="O128" s="1">
        <v>18653054000</v>
      </c>
      <c r="P128" s="1">
        <v>15430273000</v>
      </c>
      <c r="Q128" s="1">
        <v>12750545000</v>
      </c>
      <c r="R128" s="1">
        <v>5828625000</v>
      </c>
      <c r="S128" s="1">
        <v>16078558000</v>
      </c>
      <c r="T128" s="1">
        <v>11262795000</v>
      </c>
      <c r="U128" s="1">
        <v>6050468000</v>
      </c>
      <c r="V128" s="1">
        <v>2711762000</v>
      </c>
      <c r="W128" s="1">
        <v>3509790000</v>
      </c>
      <c r="X128" s="1">
        <v>1549222000</v>
      </c>
      <c r="Y128" s="1">
        <v>926858000</v>
      </c>
      <c r="Z128" s="1">
        <v>322778000</v>
      </c>
    </row>
    <row r="129" spans="1:26" ht="16">
      <c r="A129" s="2" t="s">
        <v>116</v>
      </c>
      <c r="B129" s="1">
        <v>5043331000</v>
      </c>
      <c r="C129" s="1">
        <v>19696508999</v>
      </c>
      <c r="D129" s="1">
        <v>9141124000</v>
      </c>
      <c r="E129" s="1">
        <v>5432192000</v>
      </c>
      <c r="F129" s="1">
        <v>1844251000</v>
      </c>
      <c r="G129" s="1">
        <v>7674833739</v>
      </c>
      <c r="H129" s="1">
        <v>6225967000</v>
      </c>
      <c r="I129" s="1">
        <v>2290015000</v>
      </c>
      <c r="J129" s="1">
        <v>245386000</v>
      </c>
      <c r="K129" s="1">
        <v>6900086000</v>
      </c>
      <c r="L129" s="1">
        <v>10440551000</v>
      </c>
      <c r="M129" s="1">
        <v>5855659000</v>
      </c>
      <c r="N129" s="1">
        <v>279323000</v>
      </c>
      <c r="O129" s="1">
        <v>7635577000</v>
      </c>
      <c r="P129" s="1">
        <v>8879250000</v>
      </c>
      <c r="Q129" s="1">
        <v>6547637000</v>
      </c>
      <c r="R129" s="1">
        <v>3021011000</v>
      </c>
      <c r="S129" s="1">
        <v>9455509000</v>
      </c>
      <c r="T129" s="1">
        <v>6185308000</v>
      </c>
      <c r="U129" s="1">
        <v>4018421000</v>
      </c>
      <c r="V129" s="1">
        <v>1431517000</v>
      </c>
      <c r="W129" s="1">
        <v>3547273000</v>
      </c>
      <c r="X129" s="1">
        <v>2782812000</v>
      </c>
      <c r="Y129" s="1">
        <v>1652583000</v>
      </c>
      <c r="Z129" s="1">
        <v>824027000</v>
      </c>
    </row>
    <row r="130" spans="1:26" ht="16">
      <c r="A130" s="2" t="s">
        <v>117</v>
      </c>
      <c r="B130" s="1">
        <v>3676129000</v>
      </c>
      <c r="C130" s="1">
        <v>12429722573</v>
      </c>
      <c r="D130" s="1">
        <v>7951219000</v>
      </c>
      <c r="E130" s="1">
        <v>4982030000</v>
      </c>
      <c r="F130" s="1">
        <v>2368275000</v>
      </c>
      <c r="G130" s="1">
        <v>11567261383</v>
      </c>
      <c r="H130" s="1">
        <v>6315906000</v>
      </c>
      <c r="I130" s="1">
        <v>4110744000</v>
      </c>
      <c r="J130" s="1">
        <v>1988437000</v>
      </c>
      <c r="K130" s="1">
        <v>5372718000</v>
      </c>
      <c r="L130" s="1">
        <v>3617629000</v>
      </c>
      <c r="M130" s="1">
        <v>2303687000</v>
      </c>
      <c r="N130" s="1">
        <v>1010246000</v>
      </c>
      <c r="O130" s="1">
        <v>3493831000</v>
      </c>
      <c r="P130" s="1">
        <v>2642081000</v>
      </c>
      <c r="Q130" s="1">
        <v>1668159000</v>
      </c>
      <c r="R130" s="1">
        <v>782075000</v>
      </c>
      <c r="S130" s="1">
        <v>2051931000</v>
      </c>
      <c r="T130" s="1">
        <v>1325825000</v>
      </c>
      <c r="U130" s="1">
        <v>890226000</v>
      </c>
      <c r="V130" s="1">
        <v>409835000</v>
      </c>
      <c r="W130" s="1">
        <v>1525473000</v>
      </c>
      <c r="X130" s="1">
        <v>1049722000</v>
      </c>
      <c r="Y130" s="1">
        <v>649938000</v>
      </c>
      <c r="Z130" s="1">
        <v>302964000</v>
      </c>
    </row>
    <row r="131" spans="1:26" ht="16">
      <c r="A131" s="2" t="s">
        <v>118</v>
      </c>
      <c r="B131" s="1">
        <v>752360000</v>
      </c>
      <c r="C131" s="1">
        <v>3016601563</v>
      </c>
      <c r="D131" s="1">
        <v>1943558000</v>
      </c>
      <c r="E131" s="1">
        <v>1522608000</v>
      </c>
      <c r="F131" s="1">
        <v>813837000</v>
      </c>
      <c r="G131" s="1">
        <v>2969208707</v>
      </c>
      <c r="H131" s="1">
        <v>1718082000</v>
      </c>
      <c r="I131" s="1">
        <v>1123823000</v>
      </c>
      <c r="J131" s="1">
        <v>657640000</v>
      </c>
      <c r="K131" s="1">
        <v>1780028000</v>
      </c>
      <c r="L131" s="1">
        <v>1415176000</v>
      </c>
      <c r="M131" s="1">
        <v>1085356000</v>
      </c>
      <c r="N131" s="1">
        <v>374021000</v>
      </c>
      <c r="O131" s="1">
        <v>952507000</v>
      </c>
      <c r="P131" s="1">
        <v>681695000</v>
      </c>
      <c r="Q131" s="1">
        <v>429225000</v>
      </c>
      <c r="R131" s="1">
        <v>194072000</v>
      </c>
      <c r="S131" s="1">
        <v>425189000</v>
      </c>
      <c r="T131" s="1">
        <v>251337000</v>
      </c>
      <c r="U131" s="1">
        <v>177828000</v>
      </c>
      <c r="V131" s="1">
        <v>78574000</v>
      </c>
      <c r="W131" s="1">
        <v>283381000</v>
      </c>
      <c r="X131" s="1">
        <v>199223000</v>
      </c>
      <c r="Y131" s="1">
        <v>144884000</v>
      </c>
      <c r="Z131" s="1">
        <v>44458000</v>
      </c>
    </row>
    <row r="132" spans="1:26" ht="16">
      <c r="A132" s="2" t="s">
        <v>119</v>
      </c>
      <c r="B132" s="1">
        <v>614842000</v>
      </c>
      <c r="C132" s="1">
        <v>4250184863</v>
      </c>
      <c r="D132" s="1">
        <v>-753653000</v>
      </c>
      <c r="E132" s="1">
        <v>-1072446000</v>
      </c>
      <c r="F132" s="1">
        <v>-1337861000</v>
      </c>
      <c r="G132" s="1">
        <v>-6861636351</v>
      </c>
      <c r="H132" s="1">
        <v>-1808021000</v>
      </c>
      <c r="I132" s="1">
        <v>-2944552000</v>
      </c>
      <c r="J132" s="1">
        <v>-2400691000</v>
      </c>
      <c r="K132" s="1">
        <v>-252660000</v>
      </c>
      <c r="L132" s="1">
        <v>5407746000</v>
      </c>
      <c r="M132" s="1">
        <v>2466616000</v>
      </c>
      <c r="N132" s="1">
        <v>-1104944000</v>
      </c>
      <c r="O132" s="1">
        <v>3189239000</v>
      </c>
      <c r="P132" s="1">
        <v>5555474000</v>
      </c>
      <c r="Q132" s="1">
        <v>4450253000</v>
      </c>
      <c r="R132" s="1">
        <v>2044864000</v>
      </c>
      <c r="S132" s="1">
        <v>6978389000</v>
      </c>
      <c r="T132" s="1">
        <v>4608146000</v>
      </c>
      <c r="U132" s="1">
        <v>2950367000</v>
      </c>
      <c r="V132" s="1">
        <v>943108000</v>
      </c>
      <c r="W132" s="1">
        <v>1738419000</v>
      </c>
      <c r="X132" s="1">
        <v>1533867000</v>
      </c>
      <c r="Y132" s="1">
        <v>857761000</v>
      </c>
      <c r="Z132" s="1">
        <v>476605000</v>
      </c>
    </row>
    <row r="133" spans="1:26" ht="16">
      <c r="A133" s="2" t="s">
        <v>120</v>
      </c>
      <c r="B133" s="1">
        <v>5449117000</v>
      </c>
      <c r="C133" s="1">
        <v>20460567406</v>
      </c>
      <c r="D133" s="1">
        <v>11657415000</v>
      </c>
      <c r="E133" s="1">
        <v>7248136000</v>
      </c>
      <c r="F133" s="1">
        <v>2292155000</v>
      </c>
      <c r="G133" s="1">
        <v>26252442174</v>
      </c>
      <c r="H133" s="1">
        <v>17506886000</v>
      </c>
      <c r="I133" s="1">
        <v>12679257000</v>
      </c>
      <c r="J133" s="1">
        <v>6092324000</v>
      </c>
      <c r="K133" s="1">
        <v>11229150000</v>
      </c>
      <c r="L133" s="1">
        <v>6613578000</v>
      </c>
      <c r="M133" s="1">
        <v>1868161000</v>
      </c>
      <c r="N133" s="1">
        <v>345242000</v>
      </c>
      <c r="O133" s="1">
        <v>26288631000</v>
      </c>
      <c r="P133" s="1">
        <v>24309523000</v>
      </c>
      <c r="Q133" s="1">
        <v>19298182000</v>
      </c>
      <c r="R133" s="1">
        <v>8849636000</v>
      </c>
      <c r="S133" s="1">
        <v>25534067000</v>
      </c>
      <c r="T133" s="1">
        <v>17448103000</v>
      </c>
      <c r="U133" s="1">
        <v>10068889000</v>
      </c>
      <c r="V133" s="1">
        <v>4143279000</v>
      </c>
      <c r="W133" s="1">
        <v>7057063000</v>
      </c>
      <c r="X133" s="1">
        <v>4332034000</v>
      </c>
      <c r="Y133" s="1">
        <v>2579441000</v>
      </c>
      <c r="Z133" s="1">
        <v>1146805000</v>
      </c>
    </row>
    <row r="134" spans="1:26" ht="16">
      <c r="A134" s="2" t="s">
        <v>121</v>
      </c>
      <c r="B134" s="1">
        <v>12843006000</v>
      </c>
      <c r="C134" s="1">
        <v>50614791128</v>
      </c>
      <c r="D134" s="1">
        <v>34684996000</v>
      </c>
      <c r="E134" s="1">
        <v>25330405000</v>
      </c>
      <c r="F134" s="1">
        <v>14868511000</v>
      </c>
      <c r="G134" s="1">
        <v>8492931737</v>
      </c>
      <c r="H134" s="1">
        <v>-6964961000</v>
      </c>
      <c r="I134" s="1">
        <v>-7309510000</v>
      </c>
      <c r="J134" s="1">
        <v>-3231100000</v>
      </c>
      <c r="K134" s="1">
        <v>4147211000</v>
      </c>
      <c r="L134" s="1">
        <v>2605601000</v>
      </c>
      <c r="M134" s="1">
        <v>2318245000</v>
      </c>
      <c r="N134" s="1">
        <v>3894195000</v>
      </c>
      <c r="O134" s="1">
        <v>-4063798000</v>
      </c>
      <c r="P134" s="1">
        <v>-12526520000</v>
      </c>
      <c r="Q134" s="1">
        <v>-10969256000</v>
      </c>
      <c r="R134" s="1">
        <v>-967612000</v>
      </c>
      <c r="S134" s="1">
        <v>-14453489000</v>
      </c>
      <c r="T134" s="1">
        <v>-7976617000</v>
      </c>
      <c r="U134" s="1">
        <v>-3925398000</v>
      </c>
      <c r="V134" s="1">
        <v>-1155104000</v>
      </c>
      <c r="W134" s="1">
        <v>2237389000</v>
      </c>
      <c r="X134" s="1">
        <v>2341208000</v>
      </c>
      <c r="Y134" s="1">
        <v>1242986000</v>
      </c>
      <c r="Z134" s="1">
        <v>1283885000</v>
      </c>
    </row>
    <row r="135" spans="1:26" ht="16">
      <c r="A135" s="2" t="s">
        <v>122</v>
      </c>
      <c r="B135" s="1">
        <v>18292123000</v>
      </c>
      <c r="C135" s="1">
        <v>71075358534</v>
      </c>
      <c r="D135" s="1">
        <v>46342411000</v>
      </c>
      <c r="E135" s="1">
        <v>32578541000</v>
      </c>
      <c r="F135" s="1">
        <v>17160666000</v>
      </c>
      <c r="G135" s="1">
        <v>34745373911</v>
      </c>
      <c r="H135" s="1">
        <v>10541925000</v>
      </c>
      <c r="I135" s="1">
        <v>5369747000</v>
      </c>
      <c r="J135" s="1">
        <v>2861224000</v>
      </c>
      <c r="K135" s="1">
        <v>15376361000</v>
      </c>
      <c r="L135" s="1">
        <v>9219179000</v>
      </c>
      <c r="M135" s="1">
        <v>4186406000</v>
      </c>
      <c r="N135" s="1">
        <v>4239437000</v>
      </c>
      <c r="O135" s="1">
        <v>22224833000</v>
      </c>
      <c r="P135" s="1">
        <v>11783003000</v>
      </c>
      <c r="Q135" s="1">
        <v>8328926000</v>
      </c>
      <c r="R135" s="1">
        <v>7882024000</v>
      </c>
      <c r="S135" s="1">
        <v>11080578000</v>
      </c>
      <c r="T135" s="1">
        <v>9471486000</v>
      </c>
      <c r="U135" s="1">
        <v>6143491000</v>
      </c>
      <c r="V135" s="1">
        <v>2988175000</v>
      </c>
      <c r="W135" s="1">
        <v>9294452000</v>
      </c>
      <c r="X135" s="1">
        <v>6673242000</v>
      </c>
      <c r="Y135" s="1">
        <v>3822427000</v>
      </c>
      <c r="Z135" s="1">
        <v>2430690000</v>
      </c>
    </row>
    <row r="136" spans="1:26" ht="16">
      <c r="A136" s="2" t="s">
        <v>123</v>
      </c>
      <c r="B136" s="1">
        <v>-230203000</v>
      </c>
      <c r="C136" s="1">
        <v>511892558</v>
      </c>
      <c r="D136" s="1">
        <v>869094000</v>
      </c>
      <c r="E136" s="1">
        <v>1457246000</v>
      </c>
      <c r="F136" s="1">
        <v>1916792000</v>
      </c>
      <c r="G136" s="1">
        <v>6168558852</v>
      </c>
      <c r="H136" s="1">
        <v>2199785000</v>
      </c>
      <c r="I136" s="1">
        <v>2444810000</v>
      </c>
      <c r="J136" s="1">
        <v>-299093000</v>
      </c>
      <c r="K136" s="1">
        <v>-2308222000</v>
      </c>
      <c r="L136" s="1">
        <v>-2062707000</v>
      </c>
      <c r="M136" s="1">
        <v>-1374913000</v>
      </c>
      <c r="N136" s="1">
        <v>-231752000</v>
      </c>
      <c r="O136" s="1">
        <v>-13284612000</v>
      </c>
      <c r="P136" s="1">
        <v>-11028405000</v>
      </c>
      <c r="Q136" s="1">
        <v>-7762729000</v>
      </c>
      <c r="R136" s="1">
        <v>-4343407000</v>
      </c>
      <c r="S136" s="1">
        <v>-5363633000</v>
      </c>
      <c r="T136" s="1">
        <v>-3443526000</v>
      </c>
      <c r="U136" s="1">
        <v>-1508666000</v>
      </c>
      <c r="V136" s="1">
        <v>-592169000</v>
      </c>
      <c r="W136" s="1">
        <v>-1978937000</v>
      </c>
      <c r="X136" s="1">
        <v>-1241158000</v>
      </c>
      <c r="Y136" s="1">
        <v>-673135000</v>
      </c>
      <c r="Z136" s="1">
        <v>-241665000</v>
      </c>
    </row>
    <row r="137" spans="1:26" ht="16">
      <c r="A137" s="2" t="s">
        <v>124</v>
      </c>
      <c r="B137" s="1">
        <v>-2844868000</v>
      </c>
      <c r="C137" s="1">
        <v>-16887458599</v>
      </c>
      <c r="D137" s="1">
        <v>-10972581000</v>
      </c>
      <c r="E137" s="1">
        <v>-7684398000</v>
      </c>
      <c r="F137" s="1">
        <v>-11231002000</v>
      </c>
      <c r="G137" s="1">
        <v>-45959596431</v>
      </c>
      <c r="H137" s="1">
        <v>-21873511000</v>
      </c>
      <c r="I137" s="1">
        <v>-13252258000</v>
      </c>
      <c r="J137" s="1">
        <v>-5160787000</v>
      </c>
      <c r="K137" s="1">
        <v>-22765078000</v>
      </c>
      <c r="L137" s="1">
        <v>-14637085000</v>
      </c>
      <c r="M137" s="1">
        <v>-9526296000</v>
      </c>
      <c r="N137" s="1">
        <v>-3021690000</v>
      </c>
      <c r="O137" s="1">
        <v>-11345081000</v>
      </c>
      <c r="P137" s="1">
        <v>-5998086000</v>
      </c>
      <c r="Q137" s="1">
        <v>-3218700000</v>
      </c>
      <c r="R137" s="1">
        <v>-1167516000</v>
      </c>
      <c r="S137" s="1">
        <v>-3839773000</v>
      </c>
      <c r="T137" s="1">
        <v>-2318608000</v>
      </c>
      <c r="U137" s="1">
        <v>-1388801000</v>
      </c>
      <c r="V137" s="1">
        <v>-592867000</v>
      </c>
      <c r="W137" s="1">
        <v>-1983720000</v>
      </c>
      <c r="X137" s="1">
        <v>-1297170000</v>
      </c>
      <c r="Y137" s="1">
        <v>-694097000</v>
      </c>
      <c r="Z137" s="1">
        <v>-281419000</v>
      </c>
    </row>
    <row r="138" spans="1:26" ht="16">
      <c r="A138" s="2" t="s">
        <v>125</v>
      </c>
      <c r="B138" s="1">
        <v>-423630000</v>
      </c>
      <c r="C138" s="1">
        <v>-2135115990</v>
      </c>
      <c r="D138" s="1">
        <v>-58269000</v>
      </c>
      <c r="E138" s="1">
        <v>450343000</v>
      </c>
      <c r="F138" s="1">
        <v>6129717000</v>
      </c>
      <c r="G138" s="1">
        <v>137039033</v>
      </c>
      <c r="H138" s="1">
        <v>-5280635000</v>
      </c>
      <c r="I138" s="1">
        <v>-3249182000</v>
      </c>
      <c r="J138" s="1">
        <v>-1380700000</v>
      </c>
      <c r="K138" s="1">
        <v>-4565086000</v>
      </c>
      <c r="L138" s="1">
        <v>-4987779000</v>
      </c>
      <c r="M138" s="1">
        <v>-3503385000</v>
      </c>
      <c r="N138" s="1">
        <v>-1961163000</v>
      </c>
      <c r="O138" s="1">
        <v>-1067360000</v>
      </c>
      <c r="P138" s="1">
        <v>-1570782000</v>
      </c>
      <c r="Q138" s="1">
        <v>-960444000</v>
      </c>
      <c r="R138" s="1">
        <v>-855224000</v>
      </c>
      <c r="S138" s="1">
        <v>-3681083000</v>
      </c>
      <c r="T138" s="1">
        <v>-2884910000</v>
      </c>
      <c r="U138" s="1">
        <v>-2937258000</v>
      </c>
      <c r="V138" s="1">
        <v>-2365003000</v>
      </c>
      <c r="W138" s="1">
        <v>-1135648000</v>
      </c>
      <c r="X138" s="1">
        <v>-604766000</v>
      </c>
      <c r="Y138" s="1">
        <v>-467297000</v>
      </c>
      <c r="Z138" s="1">
        <v>-103807000</v>
      </c>
    </row>
    <row r="139" spans="1:26" ht="16">
      <c r="A139" s="2" t="s">
        <v>126</v>
      </c>
      <c r="B139" s="1">
        <v>-3268498000</v>
      </c>
      <c r="C139" s="1">
        <v>-19022574590</v>
      </c>
      <c r="D139" s="1">
        <v>-11030850000</v>
      </c>
      <c r="E139" s="1">
        <v>-7234055000</v>
      </c>
      <c r="F139" s="1">
        <v>-5101285000</v>
      </c>
      <c r="G139" s="1">
        <v>-45822557399</v>
      </c>
      <c r="H139" s="1">
        <v>-27154146000</v>
      </c>
      <c r="I139" s="1">
        <v>-16501440000</v>
      </c>
      <c r="J139" s="1">
        <v>-6541487000</v>
      </c>
      <c r="K139" s="1">
        <v>-27330164000</v>
      </c>
      <c r="L139" s="1">
        <v>-19624864000</v>
      </c>
      <c r="M139" s="1">
        <v>-13029681000</v>
      </c>
      <c r="N139" s="1">
        <v>-4982853000</v>
      </c>
      <c r="O139" s="1">
        <v>-12412441000</v>
      </c>
      <c r="P139" s="1">
        <v>-7568868000</v>
      </c>
      <c r="Q139" s="1">
        <v>-4179144000</v>
      </c>
      <c r="R139" s="1">
        <v>-2022740000</v>
      </c>
      <c r="S139" s="1">
        <v>-7520856000</v>
      </c>
      <c r="T139" s="1">
        <v>-5203518000</v>
      </c>
      <c r="U139" s="1">
        <v>-4326059000</v>
      </c>
      <c r="V139" s="1">
        <v>-2957870000</v>
      </c>
      <c r="W139" s="1">
        <v>-3119368000</v>
      </c>
      <c r="X139" s="1">
        <v>-1901936000</v>
      </c>
      <c r="Y139" s="1">
        <v>-1161394000</v>
      </c>
      <c r="Z139" s="1">
        <v>-385226000</v>
      </c>
    </row>
    <row r="140" spans="1:26" ht="16">
      <c r="A140" s="2" t="s">
        <v>127</v>
      </c>
      <c r="B140" s="1">
        <v>14793422000</v>
      </c>
      <c r="C140" s="1">
        <v>52564676503</v>
      </c>
      <c r="D140" s="1">
        <v>36180655000</v>
      </c>
      <c r="E140" s="1">
        <v>26801732000</v>
      </c>
      <c r="F140" s="1">
        <v>13976173000</v>
      </c>
      <c r="G140" s="1">
        <v>-4908624636</v>
      </c>
      <c r="H140" s="1">
        <v>-14412436000</v>
      </c>
      <c r="I140" s="1">
        <v>-8686883000</v>
      </c>
      <c r="J140" s="1">
        <v>-3979356000</v>
      </c>
      <c r="K140" s="1">
        <v>-14262025000</v>
      </c>
      <c r="L140" s="1">
        <v>-12468392000</v>
      </c>
      <c r="M140" s="1">
        <v>-10218188000</v>
      </c>
      <c r="N140" s="1">
        <v>-975168000</v>
      </c>
      <c r="O140" s="1">
        <v>-3472220000</v>
      </c>
      <c r="P140" s="1">
        <v>-6814270000</v>
      </c>
      <c r="Q140" s="1">
        <v>-3612947000</v>
      </c>
      <c r="R140" s="1">
        <v>1515877000</v>
      </c>
      <c r="S140" s="1">
        <v>-1803911000</v>
      </c>
      <c r="T140" s="1">
        <v>824442000</v>
      </c>
      <c r="U140" s="1">
        <v>308766000</v>
      </c>
      <c r="V140" s="1">
        <v>-561864000</v>
      </c>
      <c r="W140" s="1">
        <v>4196147000</v>
      </c>
      <c r="X140" s="1">
        <v>3530148000</v>
      </c>
      <c r="Y140" s="1">
        <v>1987898000</v>
      </c>
      <c r="Z140" s="1">
        <v>1803799000</v>
      </c>
    </row>
    <row r="141" spans="1:26" ht="16">
      <c r="A141" s="2" t="s">
        <v>128</v>
      </c>
      <c r="B141" s="1">
        <v>-6822011000</v>
      </c>
      <c r="C141" s="1">
        <v>10940535769</v>
      </c>
      <c r="D141" s="1">
        <v>5163275000</v>
      </c>
      <c r="E141" s="1">
        <v>-208020000</v>
      </c>
      <c r="F141" s="1">
        <v>1808885000</v>
      </c>
      <c r="G141" s="1">
        <v>45314316884</v>
      </c>
      <c r="H141" s="1">
        <v>38547170000</v>
      </c>
      <c r="I141" s="1">
        <v>14943869000</v>
      </c>
      <c r="J141" s="1">
        <v>6449087000</v>
      </c>
      <c r="K141" s="1">
        <v>17669521000</v>
      </c>
      <c r="L141" s="1">
        <v>14388628000</v>
      </c>
      <c r="M141" s="1">
        <v>8831191000</v>
      </c>
      <c r="N141" s="1">
        <v>5773779000</v>
      </c>
      <c r="O141" s="1">
        <v>5473341000</v>
      </c>
      <c r="P141" s="1">
        <v>4528562000</v>
      </c>
      <c r="Q141" s="1">
        <v>3889142000</v>
      </c>
      <c r="R141" s="1">
        <v>4202431000</v>
      </c>
      <c r="S141" s="1">
        <v>3213089000</v>
      </c>
      <c r="T141" s="1">
        <v>4584851000</v>
      </c>
      <c r="U141" s="1">
        <v>2717165000</v>
      </c>
      <c r="V141" s="1">
        <v>607655000</v>
      </c>
      <c r="W141" s="1">
        <v>-2702882000</v>
      </c>
      <c r="X141" s="1">
        <v>1626338000</v>
      </c>
      <c r="Y141" s="1">
        <v>1844763000</v>
      </c>
      <c r="Z141" s="1">
        <v>481647000</v>
      </c>
    </row>
    <row r="142" spans="1:26" ht="16">
      <c r="A142" s="2" t="s">
        <v>129</v>
      </c>
      <c r="B142" s="1">
        <v>0</v>
      </c>
      <c r="C142" s="1">
        <v>-1889903579</v>
      </c>
      <c r="D142" s="1">
        <v>-1717466000</v>
      </c>
      <c r="E142" s="1">
        <v>0</v>
      </c>
      <c r="F142" s="1">
        <v>0</v>
      </c>
      <c r="G142" s="1">
        <v>-2296530778</v>
      </c>
      <c r="H142" s="1">
        <v>-1754519000</v>
      </c>
      <c r="I142" s="1">
        <v>-1754339000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-15720713000</v>
      </c>
      <c r="P142" s="1">
        <v>-15720510000</v>
      </c>
      <c r="Q142" s="1">
        <v>-15720460000</v>
      </c>
      <c r="R142" s="1">
        <v>-15185191000</v>
      </c>
      <c r="S142" s="1">
        <v>-6824686000</v>
      </c>
      <c r="T142" s="1">
        <v>-6365677000</v>
      </c>
      <c r="U142" s="1">
        <v>-6365547000</v>
      </c>
      <c r="V142" s="1">
        <v>-6365243000</v>
      </c>
      <c r="W142" s="1">
        <v>-815724000</v>
      </c>
      <c r="X142" s="1">
        <v>-815724000</v>
      </c>
      <c r="Y142" s="1">
        <v>-9000000</v>
      </c>
      <c r="Z142" s="1">
        <v>-9000000</v>
      </c>
    </row>
    <row r="143" spans="1:26" ht="16">
      <c r="A143" s="2" t="s">
        <v>130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</row>
    <row r="144" spans="1:26" ht="16">
      <c r="A144" s="2" t="s">
        <v>131</v>
      </c>
      <c r="B144" s="1">
        <v>-3604819000</v>
      </c>
      <c r="C144" s="1">
        <v>-8404376184</v>
      </c>
      <c r="D144" s="1">
        <v>-6461721000</v>
      </c>
      <c r="E144" s="1">
        <v>-4274251000</v>
      </c>
      <c r="F144" s="1">
        <v>-4195823000</v>
      </c>
      <c r="G144" s="1">
        <v>-5874555048</v>
      </c>
      <c r="H144" s="1">
        <v>-4247821000</v>
      </c>
      <c r="I144" s="1">
        <v>-3339564000</v>
      </c>
      <c r="J144" s="1">
        <v>-2304994000</v>
      </c>
      <c r="K144" s="1">
        <v>-2660094000</v>
      </c>
      <c r="L144" s="1">
        <v>-1792807000</v>
      </c>
      <c r="M144" s="1">
        <v>-1269613000</v>
      </c>
      <c r="N144" s="1">
        <v>-226690000</v>
      </c>
      <c r="O144" s="1">
        <v>619671000</v>
      </c>
      <c r="P144" s="1">
        <v>662700000</v>
      </c>
      <c r="Q144" s="1">
        <v>637240000</v>
      </c>
      <c r="R144" s="1">
        <v>544233000</v>
      </c>
      <c r="S144" s="1">
        <v>185841000</v>
      </c>
      <c r="T144" s="1">
        <v>123043000</v>
      </c>
      <c r="U144" s="1">
        <v>86677000</v>
      </c>
      <c r="V144" s="1">
        <v>140037000</v>
      </c>
      <c r="W144" s="1">
        <v>147861000</v>
      </c>
      <c r="X144" s="1">
        <v>-211922000</v>
      </c>
      <c r="Y144" s="1">
        <v>-266599000</v>
      </c>
      <c r="Z144" s="1">
        <v>-220519000</v>
      </c>
    </row>
    <row r="145" spans="1:26" ht="16">
      <c r="A145" s="2" t="s">
        <v>132</v>
      </c>
      <c r="B145" s="1">
        <v>-10426830000</v>
      </c>
      <c r="C145" s="1">
        <v>646256006</v>
      </c>
      <c r="D145" s="1">
        <v>-3015912000</v>
      </c>
      <c r="E145" s="1">
        <v>-4482271000</v>
      </c>
      <c r="F145" s="1">
        <v>-2386938000</v>
      </c>
      <c r="G145" s="1">
        <v>37143231059</v>
      </c>
      <c r="H145" s="1">
        <v>32544830000</v>
      </c>
      <c r="I145" s="1">
        <v>9849966000</v>
      </c>
      <c r="J145" s="1">
        <v>4144093000</v>
      </c>
      <c r="K145" s="1">
        <v>15009427000</v>
      </c>
      <c r="L145" s="1">
        <v>12595821000</v>
      </c>
      <c r="M145" s="1">
        <v>7561578000</v>
      </c>
      <c r="N145" s="1">
        <v>5547089000</v>
      </c>
      <c r="O145" s="1">
        <v>-9627701000</v>
      </c>
      <c r="P145" s="1">
        <v>-10529248000</v>
      </c>
      <c r="Q145" s="1">
        <v>-11194078000</v>
      </c>
      <c r="R145" s="1">
        <v>-10438527000</v>
      </c>
      <c r="S145" s="1">
        <v>-3425756000</v>
      </c>
      <c r="T145" s="1">
        <v>-1657783000</v>
      </c>
      <c r="U145" s="1">
        <v>-3561705000</v>
      </c>
      <c r="V145" s="1">
        <v>-5617551000</v>
      </c>
      <c r="W145" s="1">
        <v>-3370745000</v>
      </c>
      <c r="X145" s="1">
        <v>598692000</v>
      </c>
      <c r="Y145" s="1">
        <v>1569164000</v>
      </c>
      <c r="Z145" s="1">
        <v>252128000</v>
      </c>
    </row>
    <row r="146" spans="1:26" ht="16">
      <c r="A146" s="2" t="s">
        <v>133</v>
      </c>
      <c r="B146" s="1">
        <v>4366592000</v>
      </c>
      <c r="C146" s="1">
        <v>53210932508</v>
      </c>
      <c r="D146" s="1">
        <v>33164743000</v>
      </c>
      <c r="E146" s="1">
        <v>22319461000</v>
      </c>
      <c r="F146" s="1">
        <v>11589235000</v>
      </c>
      <c r="G146" s="1">
        <v>32234606423</v>
      </c>
      <c r="H146" s="1">
        <v>18132394000</v>
      </c>
      <c r="I146" s="1">
        <v>1163083000</v>
      </c>
      <c r="J146" s="1">
        <v>164737000</v>
      </c>
      <c r="K146" s="1">
        <v>747402000</v>
      </c>
      <c r="L146" s="1">
        <v>127429000</v>
      </c>
      <c r="M146" s="1">
        <v>-2656610000</v>
      </c>
      <c r="N146" s="1">
        <v>4571921000</v>
      </c>
      <c r="O146" s="1">
        <v>-13099921000</v>
      </c>
      <c r="P146" s="1">
        <v>-17343518000</v>
      </c>
      <c r="Q146" s="1">
        <v>-14807025000</v>
      </c>
      <c r="R146" s="1">
        <v>-8922650000</v>
      </c>
      <c r="S146" s="1">
        <v>-5229667000</v>
      </c>
      <c r="T146" s="1">
        <v>-833341000</v>
      </c>
      <c r="U146" s="1">
        <v>-3252939000</v>
      </c>
      <c r="V146" s="1">
        <v>-6179415000</v>
      </c>
      <c r="W146" s="1">
        <v>825402000</v>
      </c>
      <c r="X146" s="1">
        <v>4128840000</v>
      </c>
      <c r="Y146" s="1">
        <v>3557062000</v>
      </c>
      <c r="Z146" s="1">
        <v>2055927000</v>
      </c>
    </row>
    <row r="147" spans="1:26" ht="16">
      <c r="A147" s="2" t="s">
        <v>134</v>
      </c>
      <c r="B147" s="1">
        <v>4034120000</v>
      </c>
      <c r="C147" s="1">
        <v>12964150258</v>
      </c>
      <c r="D147" s="1">
        <v>9214677000</v>
      </c>
      <c r="E147" s="1">
        <v>6302567000</v>
      </c>
      <c r="F147" s="1">
        <v>3380690000</v>
      </c>
      <c r="G147" s="1">
        <v>8524595900</v>
      </c>
      <c r="H147" s="1">
        <v>5439493000</v>
      </c>
      <c r="I147" s="1">
        <v>3073341000</v>
      </c>
      <c r="J147" s="1">
        <v>188258000</v>
      </c>
      <c r="K147" s="1">
        <v>8132559000</v>
      </c>
      <c r="L147" s="1">
        <v>4236813000</v>
      </c>
      <c r="M147" s="1">
        <v>2794203000</v>
      </c>
      <c r="N147" s="1">
        <v>289314000</v>
      </c>
      <c r="O147" s="1">
        <v>5160860000</v>
      </c>
      <c r="P147" s="1">
        <v>5555652000</v>
      </c>
      <c r="Q147" s="1">
        <v>3698561000</v>
      </c>
      <c r="R147" s="1">
        <v>1565186000</v>
      </c>
      <c r="S147" s="1">
        <v>14828033000</v>
      </c>
      <c r="T147" s="1">
        <v>310597000</v>
      </c>
      <c r="U147" s="1">
        <v>23878000</v>
      </c>
      <c r="V147" s="1">
        <v>847150000</v>
      </c>
      <c r="W147" s="1">
        <v>2107660000</v>
      </c>
      <c r="X147" s="1">
        <v>638161000</v>
      </c>
      <c r="Y147" s="1">
        <v>324672000</v>
      </c>
      <c r="Z147" s="1">
        <v>191734000</v>
      </c>
    </row>
    <row r="148" spans="1:26" ht="16">
      <c r="A148" s="2" t="s">
        <v>135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1:26" ht="16">
      <c r="A149" s="2" t="s">
        <v>136</v>
      </c>
      <c r="B149" s="1">
        <v>8400712000</v>
      </c>
      <c r="C149" s="1">
        <v>66175082766</v>
      </c>
      <c r="D149" s="1">
        <v>42379420000</v>
      </c>
      <c r="E149" s="1">
        <v>28622028000</v>
      </c>
      <c r="F149" s="1">
        <v>14969925000</v>
      </c>
      <c r="G149" s="1">
        <v>40759202323</v>
      </c>
      <c r="H149" s="1">
        <v>23571887000</v>
      </c>
      <c r="I149" s="1">
        <v>4236424000</v>
      </c>
      <c r="J149" s="1">
        <v>352995000</v>
      </c>
      <c r="K149" s="1">
        <v>8879961000</v>
      </c>
      <c r="L149" s="1">
        <v>4364242000</v>
      </c>
      <c r="M149" s="1">
        <v>137593000</v>
      </c>
      <c r="N149" s="1">
        <v>4861235000</v>
      </c>
      <c r="O149" s="1">
        <v>-7939061000</v>
      </c>
      <c r="P149" s="1">
        <v>-11787866000</v>
      </c>
      <c r="Q149" s="1">
        <v>-11108464000</v>
      </c>
      <c r="R149" s="1">
        <v>-7357464000</v>
      </c>
      <c r="S149" s="1">
        <v>9598366000</v>
      </c>
      <c r="T149" s="1">
        <v>-522744000</v>
      </c>
      <c r="U149" s="1">
        <v>-3229061000</v>
      </c>
      <c r="V149" s="1">
        <v>-5332265000</v>
      </c>
      <c r="W149" s="1">
        <v>2933062000</v>
      </c>
      <c r="X149" s="1">
        <v>4767001000</v>
      </c>
      <c r="Y149" s="1">
        <v>3881734000</v>
      </c>
      <c r="Z149" s="1">
        <v>2247661000</v>
      </c>
    </row>
    <row r="150" spans="1:26" ht="16">
      <c r="A150" s="2" t="s">
        <v>137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1:26" ht="16">
      <c r="A151" s="2" t="s">
        <v>138</v>
      </c>
      <c r="B151" s="1">
        <v>115326954000</v>
      </c>
      <c r="C151" s="1">
        <v>60730891650</v>
      </c>
      <c r="D151" s="1">
        <v>55189748000</v>
      </c>
      <c r="E151" s="1">
        <v>55189748000</v>
      </c>
      <c r="F151" s="1">
        <v>55189748000</v>
      </c>
      <c r="G151" s="1">
        <v>31479944084</v>
      </c>
      <c r="H151" s="1">
        <v>24050259000</v>
      </c>
      <c r="I151" s="1">
        <v>24050259000</v>
      </c>
      <c r="J151" s="1">
        <v>24050259000</v>
      </c>
      <c r="K151" s="1">
        <v>15170298000</v>
      </c>
      <c r="L151" s="1">
        <v>15170298000</v>
      </c>
      <c r="M151" s="1">
        <v>15170298000</v>
      </c>
      <c r="N151" s="1">
        <v>15170298000</v>
      </c>
      <c r="O151" s="1">
        <v>23109359000</v>
      </c>
      <c r="P151" s="1">
        <v>23109359000</v>
      </c>
      <c r="Q151" s="1">
        <v>23109359000</v>
      </c>
      <c r="R151" s="1">
        <v>23109359000</v>
      </c>
      <c r="S151" s="1">
        <v>13510993000</v>
      </c>
      <c r="T151" s="1">
        <v>13510993000</v>
      </c>
      <c r="U151" s="1">
        <v>13510993000</v>
      </c>
      <c r="V151" s="1">
        <v>13510993000</v>
      </c>
      <c r="W151" s="1">
        <v>10577931000</v>
      </c>
      <c r="X151" s="1">
        <v>10577931000</v>
      </c>
      <c r="Y151" s="1">
        <v>10577931000</v>
      </c>
      <c r="Z151" s="1">
        <v>10577931000</v>
      </c>
    </row>
    <row r="152" spans="1:26" ht="16">
      <c r="A152" s="2" t="s">
        <v>139</v>
      </c>
      <c r="B152" s="1">
        <v>123727666000</v>
      </c>
      <c r="C152" s="1">
        <v>126905974416</v>
      </c>
      <c r="D152" s="1">
        <v>97569168000</v>
      </c>
      <c r="E152" s="1">
        <v>83811776000</v>
      </c>
      <c r="F152" s="1">
        <v>70159673000</v>
      </c>
      <c r="G152" s="1">
        <v>72239146407</v>
      </c>
      <c r="H152" s="1">
        <v>47622146000</v>
      </c>
      <c r="I152" s="1">
        <v>28286683000</v>
      </c>
      <c r="J152" s="1">
        <v>24403254000</v>
      </c>
      <c r="K152" s="1">
        <v>24050259000</v>
      </c>
      <c r="L152" s="1">
        <v>19534540000</v>
      </c>
      <c r="M152" s="1">
        <v>15307891000</v>
      </c>
      <c r="N152" s="1">
        <v>20031533000</v>
      </c>
      <c r="O152" s="1">
        <v>15170298000</v>
      </c>
      <c r="P152" s="1">
        <v>11321493000</v>
      </c>
      <c r="Q152" s="1">
        <v>12000895000</v>
      </c>
      <c r="R152" s="1">
        <v>15751895000</v>
      </c>
      <c r="S152" s="1">
        <v>23109359000</v>
      </c>
      <c r="T152" s="1">
        <v>12988249000</v>
      </c>
      <c r="U152" s="1">
        <v>10281932000</v>
      </c>
      <c r="V152" s="1">
        <v>8178728000</v>
      </c>
      <c r="W152" s="1">
        <v>13510993000</v>
      </c>
      <c r="X152" s="1">
        <v>15344932000</v>
      </c>
      <c r="Y152" s="1">
        <v>14459665000</v>
      </c>
      <c r="Z152" s="1">
        <v>12825592000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AF57-B289-DD4C-9DEC-34565CE1A150}">
  <dimension ref="A1:H42"/>
  <sheetViews>
    <sheetView workbookViewId="0">
      <selection activeCell="G12" sqref="G12"/>
    </sheetView>
  </sheetViews>
  <sheetFormatPr baseColWidth="10" defaultRowHeight="15"/>
  <cols>
    <col min="1" max="1" width="45.33203125" bestFit="1" customWidth="1"/>
    <col min="2" max="7" width="20.83203125" customWidth="1"/>
  </cols>
  <sheetData>
    <row r="1" spans="1:8">
      <c r="A1" t="s">
        <v>163</v>
      </c>
    </row>
    <row r="2" spans="1:8">
      <c r="A2" t="s">
        <v>164</v>
      </c>
    </row>
    <row r="3" spans="1:8">
      <c r="B3" s="7" t="s">
        <v>157</v>
      </c>
      <c r="C3" s="7" t="s">
        <v>153</v>
      </c>
      <c r="D3" s="7" t="s">
        <v>149</v>
      </c>
      <c r="E3" s="7" t="s">
        <v>145</v>
      </c>
      <c r="F3" s="7" t="s">
        <v>141</v>
      </c>
      <c r="G3" s="7" t="s">
        <v>2</v>
      </c>
      <c r="H3" s="7"/>
    </row>
    <row r="4" spans="1:8">
      <c r="A4" s="5" t="s">
        <v>165</v>
      </c>
      <c r="B4" s="8">
        <f>INDEX(isyatirim!$A$1:$Z$152,MATCH("Satış Gelirleri",isyatirim!$A$1:$A$152,0),MATCH(B$3,isyatirim!$A$1:$Z$1,0))</f>
        <v>32048029000</v>
      </c>
      <c r="C4" s="8">
        <f>INDEX(isyatirim!$A$1:$Z$152,MATCH("Satış Gelirleri",isyatirim!$A$1:$A$152,0),MATCH(C$3,isyatirim!$A$1:$Z$1,0))</f>
        <v>68227404000</v>
      </c>
      <c r="D4" s="8">
        <f>INDEX(isyatirim!$A$1:$Z$152,MATCH("Satış Gelirleri",isyatirim!$A$1:$A$152,0),MATCH(D$3,isyatirim!$A$1:$Z$1,0))</f>
        <v>127782881000</v>
      </c>
      <c r="E4" s="8">
        <f>INDEX(isyatirim!$A$1:$Z$152,MATCH("Satış Gelirleri",isyatirim!$A$1:$A$152,0),MATCH(E$3,isyatirim!$A$1:$Z$1,0))</f>
        <v>147899792000</v>
      </c>
      <c r="F4" s="8">
        <f>INDEX(isyatirim!$A$1:$Z$152,MATCH("Satış Gelirleri",isyatirim!$A$1:$A$152,0),MATCH(F$3,isyatirim!$A$1:$Z$1,0))</f>
        <v>267098807580</v>
      </c>
      <c r="G4" s="8">
        <f>INDEX(isyatirim!$A$1:$Z$152,MATCH("Satış Gelirleri",isyatirim!$A$1:$A$152,0),MATCH(G$3,isyatirim!$A$1:$Z$1,0))</f>
        <v>229884810210</v>
      </c>
    </row>
    <row r="5" spans="1:8">
      <c r="A5" s="4" t="s">
        <v>166</v>
      </c>
      <c r="B5" s="8">
        <f>INDEX(isyatirim!$A$1:$Z$152,MATCH("Satışların Maliyeti (-)",isyatirim!$A$1:$A$152,0),MATCH(B$3,isyatirim!$A$1:$Z$1,0))</f>
        <v>-26123431000</v>
      </c>
      <c r="C5" s="8">
        <f>INDEX(isyatirim!$A$1:$Z$152,MATCH("Satışların Maliyeti (-)",isyatirim!$A$1:$A$152,0),MATCH(C$3,isyatirim!$A$1:$Z$1,0))</f>
        <v>-42710993000</v>
      </c>
      <c r="D5" s="8">
        <f>INDEX(isyatirim!$A$1:$Z$152,MATCH("Satışların Maliyeti (-)",isyatirim!$A$1:$A$152,0),MATCH(D$3,isyatirim!$A$1:$Z$1,0))</f>
        <v>-102244085000</v>
      </c>
      <c r="E5" s="8">
        <f>INDEX(isyatirim!$A$1:$Z$152,MATCH("Satışların Maliyeti (-)",isyatirim!$A$1:$A$152,0),MATCH(E$3,isyatirim!$A$1:$Z$1,0))</f>
        <v>-132242934000</v>
      </c>
      <c r="F5" s="8">
        <f>INDEX(isyatirim!$A$1:$Z$152,MATCH("Satışların Maliyeti (-)",isyatirim!$A$1:$A$152,0),MATCH(F$3,isyatirim!$A$1:$Z$1,0))</f>
        <v>-240914315541</v>
      </c>
      <c r="G5" s="8">
        <f>INDEX(isyatirim!$A$1:$Z$152,MATCH("Satışların Maliyeti (-)",isyatirim!$A$1:$A$152,0),MATCH(G$3,isyatirim!$A$1:$Z$1,0))</f>
        <v>-209456210573</v>
      </c>
    </row>
    <row r="6" spans="1:8">
      <c r="A6" s="5" t="s">
        <v>167</v>
      </c>
      <c r="B6" s="8">
        <f>B4+B5</f>
        <v>5924598000</v>
      </c>
      <c r="C6" s="8">
        <f t="shared" ref="C6:G6" si="0">C4+C5</f>
        <v>25516411000</v>
      </c>
      <c r="D6" s="8">
        <f t="shared" si="0"/>
        <v>25538796000</v>
      </c>
      <c r="E6" s="8">
        <f t="shared" si="0"/>
        <v>15656858000</v>
      </c>
      <c r="F6" s="8">
        <f t="shared" si="0"/>
        <v>26184492039</v>
      </c>
      <c r="G6" s="8">
        <f t="shared" si="0"/>
        <v>20428599637</v>
      </c>
    </row>
    <row r="7" spans="1:8">
      <c r="A7" s="6" t="s">
        <v>168</v>
      </c>
      <c r="B7" s="9">
        <f>B6/B4</f>
        <v>0.18486622063403649</v>
      </c>
      <c r="C7" s="9">
        <f t="shared" ref="C7:G7" si="1">C6/C4</f>
        <v>0.37399064751166555</v>
      </c>
      <c r="D7" s="9">
        <f t="shared" si="1"/>
        <v>0.19986085616585839</v>
      </c>
      <c r="E7" s="9">
        <f t="shared" si="1"/>
        <v>0.10586125773591351</v>
      </c>
      <c r="F7" s="9">
        <f t="shared" si="1"/>
        <v>9.803297991570914E-2</v>
      </c>
      <c r="G7" s="9">
        <f t="shared" si="1"/>
        <v>8.8864504002410832E-2</v>
      </c>
    </row>
    <row r="8" spans="1:8">
      <c r="A8" s="4" t="s">
        <v>169</v>
      </c>
      <c r="B8" s="8">
        <f>INDEX(isyatirim!$A$1:$Z$152,MATCH("Pazarlama, Satış ve Dağıtım Giderleri (-)",isyatirim!$A$1:$A$152,0),MATCH(B$3,isyatirim!$A$1:$Z$1,0))+INDEX(isyatirim!$A$1:$Z$152,MATCH("Genel Yönetim Giderleri (-)",isyatirim!$A$1:$A$152,0),MATCH(B$3,isyatirim!$A$1:$Z$1,0))+INDEX(isyatirim!$A$1:$Z$152,MATCH("Araştırma ve Geliştirme Giderleri (-)",isyatirim!$A$1:$A$152,0),MATCH(B$3,isyatirim!$A$1:$Z$1,0))</f>
        <v>-784806000</v>
      </c>
      <c r="C8" s="8">
        <f>INDEX(isyatirim!$A$1:$Z$152,MATCH("Pazarlama, Satış ve Dağıtım Giderleri (-)",isyatirim!$A$1:$A$152,0),MATCH(C$3,isyatirim!$A$1:$Z$1,0))+INDEX(isyatirim!$A$1:$Z$152,MATCH("Genel Yönetim Giderleri (-)",isyatirim!$A$1:$A$152,0),MATCH(C$3,isyatirim!$A$1:$Z$1,0))+INDEX(isyatirim!$A$1:$Z$152,MATCH("Araştırma ve Geliştirme Giderleri (-)",isyatirim!$A$1:$A$152,0),MATCH(C$3,isyatirim!$A$1:$Z$1,0))</f>
        <v>-1100542000</v>
      </c>
      <c r="D8" s="8">
        <f>INDEX(isyatirim!$A$1:$Z$152,MATCH("Pazarlama, Satış ve Dağıtım Giderleri (-)",isyatirim!$A$1:$A$152,0),MATCH(D$3,isyatirim!$A$1:$Z$1,0))+INDEX(isyatirim!$A$1:$Z$152,MATCH("Genel Yönetim Giderleri (-)",isyatirim!$A$1:$A$152,0),MATCH(D$3,isyatirim!$A$1:$Z$1,0))+INDEX(isyatirim!$A$1:$Z$152,MATCH("Araştırma ve Geliştirme Giderleri (-)",isyatirim!$A$1:$A$152,0),MATCH(D$3,isyatirim!$A$1:$Z$1,0))</f>
        <v>-2378120000</v>
      </c>
      <c r="E8" s="8">
        <f>INDEX(isyatirim!$A$1:$Z$152,MATCH("Pazarlama, Satış ve Dağıtım Giderleri (-)",isyatirim!$A$1:$A$152,0),MATCH(E$3,isyatirim!$A$1:$Z$1,0))+INDEX(isyatirim!$A$1:$Z$152,MATCH("Genel Yönetim Giderleri (-)",isyatirim!$A$1:$A$152,0),MATCH(E$3,isyatirim!$A$1:$Z$1,0))+INDEX(isyatirim!$A$1:$Z$152,MATCH("Araştırma ve Geliştirme Giderleri (-)",isyatirim!$A$1:$A$152,0),MATCH(E$3,isyatirim!$A$1:$Z$1,0))</f>
        <v>-4041013000</v>
      </c>
      <c r="F8" s="8">
        <f>INDEX(isyatirim!$A$1:$Z$152,MATCH("Pazarlama, Satış ve Dağıtım Giderleri (-)",isyatirim!$A$1:$A$152,0),MATCH(F$3,isyatirim!$A$1:$Z$1,0))+INDEX(isyatirim!$A$1:$Z$152,MATCH("Genel Yönetim Giderleri (-)",isyatirim!$A$1:$A$152,0),MATCH(F$3,isyatirim!$A$1:$Z$1,0))+INDEX(isyatirim!$A$1:$Z$152,MATCH("Araştırma ve Geliştirme Giderleri (-)",isyatirim!$A$1:$A$152,0),MATCH(F$3,isyatirim!$A$1:$Z$1,0))</f>
        <v>-10143523271</v>
      </c>
      <c r="G8" s="8">
        <f>INDEX(isyatirim!$A$1:$Z$152,MATCH("Pazarlama, Satış ve Dağıtım Giderleri (-)",isyatirim!$A$1:$A$152,0),MATCH(G$3,isyatirim!$A$1:$Z$1,0))+INDEX(isyatirim!$A$1:$Z$152,MATCH("Genel Yönetim Giderleri (-)",isyatirim!$A$1:$A$152,0),MATCH(G$3,isyatirim!$A$1:$Z$1,0))+INDEX(isyatirim!$A$1:$Z$152,MATCH("Araştırma ve Geliştirme Giderleri (-)",isyatirim!$A$1:$A$152,0),MATCH(G$3,isyatirim!$A$1:$Z$1,0))</f>
        <v>-10353705857</v>
      </c>
    </row>
    <row r="9" spans="1:8">
      <c r="A9" s="5" t="s">
        <v>161</v>
      </c>
      <c r="B9" s="8">
        <f>B6+B8</f>
        <v>5139792000</v>
      </c>
      <c r="C9" s="8">
        <f t="shared" ref="C9:G9" si="2">C6+C8</f>
        <v>24415869000</v>
      </c>
      <c r="D9" s="8">
        <f t="shared" si="2"/>
        <v>23160676000</v>
      </c>
      <c r="E9" s="8">
        <f t="shared" si="2"/>
        <v>11615845000</v>
      </c>
      <c r="F9" s="8">
        <f t="shared" si="2"/>
        <v>16040968768</v>
      </c>
      <c r="G9" s="8">
        <f t="shared" si="2"/>
        <v>10074893780</v>
      </c>
    </row>
    <row r="10" spans="1:8">
      <c r="A10" s="6" t="s">
        <v>170</v>
      </c>
      <c r="B10" s="9">
        <f>B9/B4</f>
        <v>0.16037778797566615</v>
      </c>
      <c r="C10" s="9">
        <f t="shared" ref="C10:G10" si="3">C9/C4</f>
        <v>0.35786014956688078</v>
      </c>
      <c r="D10" s="9">
        <f t="shared" si="3"/>
        <v>0.18125022552903625</v>
      </c>
      <c r="E10" s="9">
        <f t="shared" si="3"/>
        <v>7.853861620035274E-2</v>
      </c>
      <c r="F10" s="9">
        <f t="shared" si="3"/>
        <v>6.0056309922669707E-2</v>
      </c>
      <c r="G10" s="9">
        <f t="shared" si="3"/>
        <v>4.3825835081476562E-2</v>
      </c>
    </row>
    <row r="11" spans="1:8">
      <c r="A11" s="4" t="s">
        <v>171</v>
      </c>
      <c r="B11" s="8">
        <f>INDEX(isyatirim!$A$1:$Z$152,MATCH("Amortisman &amp; İtfa Payları",isyatirim!$A$1:$A$152,0),MATCH(B$3,isyatirim!$A$1:$Z$1,0))</f>
        <v>1525473000</v>
      </c>
      <c r="C11" s="8">
        <f>INDEX(isyatirim!$A$1:$Z$152,MATCH("Amortisman &amp; İtfa Payları",isyatirim!$A$1:$A$152,0),MATCH(C$3,isyatirim!$A$1:$Z$1,0))</f>
        <v>2051931000</v>
      </c>
      <c r="D11" s="8">
        <f>INDEX(isyatirim!$A$1:$Z$152,MATCH("Amortisman &amp; İtfa Payları",isyatirim!$A$1:$A$152,0),MATCH(D$3,isyatirim!$A$1:$Z$1,0))</f>
        <v>3493831000</v>
      </c>
      <c r="E11" s="8">
        <f>INDEX(isyatirim!$A$1:$Z$152,MATCH("Amortisman &amp; İtfa Payları",isyatirim!$A$1:$A$152,0),MATCH(E$3,isyatirim!$A$1:$Z$1,0))</f>
        <v>5372718000</v>
      </c>
      <c r="F11" s="8">
        <f>INDEX(isyatirim!$A$1:$Z$152,MATCH("Amortisman &amp; İtfa Payları",isyatirim!$A$1:$A$152,0),MATCH(F$3,isyatirim!$A$1:$Z$1,0))</f>
        <v>11567261383</v>
      </c>
      <c r="G11" s="8">
        <f>INDEX(isyatirim!$A$1:$Z$152,MATCH("Amortisman &amp; İtfa Payları",isyatirim!$A$1:$A$152,0),MATCH(G$3,isyatirim!$A$1:$Z$1,0))</f>
        <v>12429722573</v>
      </c>
    </row>
    <row r="12" spans="1:8">
      <c r="A12" s="5" t="s">
        <v>162</v>
      </c>
      <c r="B12" s="8">
        <f>B9+B11</f>
        <v>6665265000</v>
      </c>
      <c r="C12" s="8">
        <f t="shared" ref="C12:G12" si="4">C9+C11</f>
        <v>26467800000</v>
      </c>
      <c r="D12" s="8">
        <f t="shared" si="4"/>
        <v>26654507000</v>
      </c>
      <c r="E12" s="8">
        <f t="shared" si="4"/>
        <v>16988563000</v>
      </c>
      <c r="F12" s="8">
        <f t="shared" si="4"/>
        <v>27608230151</v>
      </c>
      <c r="G12" s="8">
        <f t="shared" si="4"/>
        <v>22504616353</v>
      </c>
    </row>
    <row r="13" spans="1:8">
      <c r="A13" s="6" t="s">
        <v>172</v>
      </c>
      <c r="B13" s="9">
        <f>B12/B4</f>
        <v>0.20797737670544419</v>
      </c>
      <c r="C13" s="9">
        <f t="shared" ref="C13:G13" si="5">C12/C4</f>
        <v>0.38793502974259436</v>
      </c>
      <c r="D13" s="9">
        <f t="shared" si="5"/>
        <v>0.20859215875716561</v>
      </c>
      <c r="E13" s="9">
        <f t="shared" si="5"/>
        <v>0.11486536100064292</v>
      </c>
      <c r="F13" s="9">
        <f t="shared" si="5"/>
        <v>0.10336335980358478</v>
      </c>
      <c r="G13" s="9">
        <f t="shared" si="5"/>
        <v>9.7895186430290937E-2</v>
      </c>
    </row>
    <row r="14" spans="1:8">
      <c r="A14" s="4" t="s">
        <v>173</v>
      </c>
      <c r="B14" s="8">
        <f>INDEX(isyatirim!$A$1:$Z$152,MATCH("Sabit Sermaye Yatırımları",isyatirim!$A$1:$A$152,0),MATCH(B$3,isyatirim!$A$1:$Z$1,0))</f>
        <v>-1983720000</v>
      </c>
      <c r="C14" s="8">
        <f>INDEX(isyatirim!$A$1:$Z$152,MATCH("Sabit Sermaye Yatırımları",isyatirim!$A$1:$A$152,0),MATCH(C$3,isyatirim!$A$1:$Z$1,0))</f>
        <v>-3839773000</v>
      </c>
      <c r="D14" s="8">
        <f>INDEX(isyatirim!$A$1:$Z$152,MATCH("Sabit Sermaye Yatırımları",isyatirim!$A$1:$A$152,0),MATCH(D$3,isyatirim!$A$1:$Z$1,0))</f>
        <v>-11345081000</v>
      </c>
      <c r="E14" s="8">
        <f>INDEX(isyatirim!$A$1:$Z$152,MATCH("Sabit Sermaye Yatırımları",isyatirim!$A$1:$A$152,0),MATCH(E$3,isyatirim!$A$1:$Z$1,0))</f>
        <v>-22765078000</v>
      </c>
      <c r="F14" s="8">
        <f>INDEX(isyatirim!$A$1:$Z$152,MATCH("Sabit Sermaye Yatırımları",isyatirim!$A$1:$A$152,0),MATCH(F$3,isyatirim!$A$1:$Z$1,0))</f>
        <v>-45959596431</v>
      </c>
      <c r="G14" s="8">
        <f>INDEX(isyatirim!$A$1:$Z$152,MATCH("Sabit Sermaye Yatırımları",isyatirim!$A$1:$A$152,0),MATCH(G$3,isyatirim!$A$1:$Z$1,0))</f>
        <v>-16887458599</v>
      </c>
    </row>
    <row r="15" spans="1:8">
      <c r="A15" s="6" t="s">
        <v>174</v>
      </c>
      <c r="B15" s="9">
        <f>-B14/B4</f>
        <v>6.1898346385046023E-2</v>
      </c>
      <c r="C15" s="9">
        <f t="shared" ref="C15:G15" si="6">-C14/C4</f>
        <v>5.6279042948783456E-2</v>
      </c>
      <c r="D15" s="9">
        <f t="shared" si="6"/>
        <v>8.8784044554450131E-2</v>
      </c>
      <c r="E15" s="9">
        <f t="shared" si="6"/>
        <v>0.15392231248033128</v>
      </c>
      <c r="F15" s="9">
        <f t="shared" si="6"/>
        <v>0.17206964286890133</v>
      </c>
      <c r="G15" s="9">
        <f t="shared" si="6"/>
        <v>7.3460523918797815E-2</v>
      </c>
    </row>
    <row r="16" spans="1:8">
      <c r="A16" s="6" t="s">
        <v>175</v>
      </c>
      <c r="B16" s="9">
        <f>B11/B4</f>
        <v>4.7599588729778049E-2</v>
      </c>
      <c r="C16" s="9">
        <f t="shared" ref="C16:G16" si="7">C11/C4</f>
        <v>3.007488017571356E-2</v>
      </c>
      <c r="D16" s="9">
        <f t="shared" si="7"/>
        <v>2.7341933228129361E-2</v>
      </c>
      <c r="E16" s="9">
        <f t="shared" si="7"/>
        <v>3.6326744800290182E-2</v>
      </c>
      <c r="F16" s="9">
        <f t="shared" si="7"/>
        <v>4.3307049880915084E-2</v>
      </c>
      <c r="G16" s="9">
        <f t="shared" si="7"/>
        <v>5.4069351348814375E-2</v>
      </c>
    </row>
    <row r="17" spans="1:7">
      <c r="A17" s="4" t="s">
        <v>176</v>
      </c>
      <c r="B17" s="8">
        <f>INDEX(isyatirim!$A$1:$Z$152,MATCH("Sürdürülen Faaliyetler Vergi Geliri (Gideri)",isyatirim!$A$1:$A$152,0),MATCH(B$3,isyatirim!$A$1:$Z$1,0))</f>
        <v>-2147735000</v>
      </c>
      <c r="C17" s="8">
        <f>INDEX(isyatirim!$A$1:$Z$152,MATCH("Sürdürülen Faaliyetler Vergi Geliri (Gideri)",isyatirim!$A$1:$A$152,0),MATCH(C$3,isyatirim!$A$1:$Z$1,0))</f>
        <v>-7838155000</v>
      </c>
      <c r="D17" s="8">
        <f>INDEX(isyatirim!$A$1:$Z$152,MATCH("Sürdürülen Faaliyetler Vergi Geliri (Gideri)",isyatirim!$A$1:$A$152,0),MATCH(D$3,isyatirim!$A$1:$Z$1,0))</f>
        <v>-3459400000</v>
      </c>
      <c r="E17" s="8">
        <f>INDEX(isyatirim!$A$1:$Z$152,MATCH("Sürdürülen Faaliyetler Vergi Geliri (Gideri)",isyatirim!$A$1:$A$152,0),MATCH(E$3,isyatirim!$A$1:$Z$1,0))</f>
        <v>-4508065000</v>
      </c>
      <c r="F17" s="8">
        <f>INDEX(isyatirim!$A$1:$Z$152,MATCH("Sürdürülen Faaliyetler Vergi Geliri (Gideri)",isyatirim!$A$1:$A$152,0),MATCH(F$3,isyatirim!$A$1:$Z$1,0))</f>
        <v>877927572</v>
      </c>
      <c r="G17" s="8">
        <f>INDEX(isyatirim!$A$1:$Z$152,MATCH("Sürdürülen Faaliyetler Vergi Geliri (Gideri)",isyatirim!$A$1:$A$152,0),MATCH(G$3,isyatirim!$A$1:$Z$1,0))</f>
        <v>-3285920473</v>
      </c>
    </row>
    <row r="18" spans="1:7">
      <c r="A18" s="4" t="s">
        <v>177</v>
      </c>
      <c r="B18" s="8">
        <f>INDEX(isyatirim!$A$1:$Z$152,MATCH("SÜRDÜRÜLEN FAALİYETLER VERGİ ÖNCESİ KARI (ZARARI)",isyatirim!$A$1:$A$152,0),MATCH(B$3,isyatirim!$A$1:$Z$1,0))</f>
        <v>5657525000</v>
      </c>
      <c r="C18" s="8">
        <f>INDEX(isyatirim!$A$1:$Z$152,MATCH("SÜRDÜRÜLEN FAALİYETLER VERGİ ÖNCESİ KARI (ZARARI)",isyatirim!$A$1:$A$152,0),MATCH(C$3,isyatirim!$A$1:$Z$1,0))</f>
        <v>23916713000</v>
      </c>
      <c r="D18" s="8">
        <f>INDEX(isyatirim!$A$1:$Z$152,MATCH("SÜRDÜRÜLEN FAALİYETLER VERGİ ÖNCESİ KARI (ZARARI)",isyatirim!$A$1:$A$152,0),MATCH(D$3,isyatirim!$A$1:$Z$1,0))</f>
        <v>22112454000</v>
      </c>
      <c r="E18" s="8">
        <f>INDEX(isyatirim!$A$1:$Z$152,MATCH("SÜRDÜRÜLEN FAALİYETLER VERGİ ÖNCESİ KARI (ZARARI)",isyatirim!$A$1:$A$152,0),MATCH(E$3,isyatirim!$A$1:$Z$1,0))</f>
        <v>8837129000</v>
      </c>
      <c r="F18" s="8">
        <f>INDEX(isyatirim!$A$1:$Z$152,MATCH("SÜRDÜRÜLEN FAALİYETLER VERGİ ÖNCESİ KARI (ZARARI)",isyatirim!$A$1:$A$152,0),MATCH(F$3,isyatirim!$A$1:$Z$1,0))</f>
        <v>17699680862</v>
      </c>
      <c r="G18" s="8">
        <f>INDEX(isyatirim!$A$1:$Z$152,MATCH("SÜRDÜRÜLEN FAALİYETLER VERGİ ÖNCESİ KARI (ZARARI)",isyatirim!$A$1:$A$152,0),MATCH(G$3,isyatirim!$A$1:$Z$1,0))</f>
        <v>4049978881</v>
      </c>
    </row>
    <row r="19" spans="1:7">
      <c r="A19" s="6" t="s">
        <v>178</v>
      </c>
      <c r="B19" s="9">
        <f>-B17/B18</f>
        <v>0.37962448243710811</v>
      </c>
      <c r="C19" s="9">
        <f t="shared" ref="C19:G19" si="8">-C17/C18</f>
        <v>0.32772710029174995</v>
      </c>
      <c r="D19" s="9">
        <f t="shared" si="8"/>
        <v>0.15644577485610597</v>
      </c>
      <c r="E19" s="9">
        <f t="shared" si="8"/>
        <v>0.51012778018743421</v>
      </c>
      <c r="F19" s="9">
        <f t="shared" si="8"/>
        <v>-4.9601322128064479E-2</v>
      </c>
      <c r="G19" s="9">
        <f t="shared" si="8"/>
        <v>0.81134261919624073</v>
      </c>
    </row>
    <row r="20" spans="1:7">
      <c r="B20" s="11"/>
      <c r="C20" s="8"/>
      <c r="D20" s="8"/>
      <c r="E20" s="8"/>
      <c r="F20" s="8"/>
      <c r="G20" s="8"/>
    </row>
    <row r="21" spans="1:7">
      <c r="A21" s="4" t="s">
        <v>179</v>
      </c>
      <c r="B21" s="8">
        <f>INDEX(isyatirim!$A$1:$Z$152,34,MATCH(B$3,isyatirim!$A$1:$Z$1,0))</f>
        <v>3785528000</v>
      </c>
      <c r="C21" s="8">
        <f>INDEX(isyatirim!$A$1:$Z$152,34,MATCH(C$3,isyatirim!$A$1:$Z$1,0))</f>
        <v>9715673000</v>
      </c>
      <c r="D21" s="8">
        <f>INDEX(isyatirim!$A$1:$Z$152,34,MATCH(D$3,isyatirim!$A$1:$Z$1,0))</f>
        <v>21172290000</v>
      </c>
      <c r="E21" s="8">
        <f>INDEX(isyatirim!$A$1:$Z$152,34,MATCH(E$3,isyatirim!$A$1:$Z$1,0))</f>
        <v>56761083000</v>
      </c>
      <c r="F21" s="8">
        <f>INDEX(isyatirim!$A$1:$Z$152,34,MATCH(F$3,isyatirim!$A$1:$Z$1,0))</f>
        <v>48051966591</v>
      </c>
      <c r="G21" s="8">
        <f>INDEX(isyatirim!$A$1:$Z$152,34,MATCH(G$3,isyatirim!$A$1:$Z$1,0))</f>
        <v>44034852326</v>
      </c>
    </row>
    <row r="22" spans="1:7">
      <c r="A22" s="4" t="s">
        <v>180</v>
      </c>
      <c r="B22" s="8">
        <f>INDEX(isyatirim!$A$1:$Z$152,48,MATCH(B$3,isyatirim!$A$1:$Z$1,0))</f>
        <v>2812743000</v>
      </c>
      <c r="C22" s="8">
        <f>INDEX(isyatirim!$A$1:$Z$152,48,MATCH(C$3,isyatirim!$A$1:$Z$1,0))</f>
        <v>6960671000</v>
      </c>
      <c r="D22" s="8">
        <f>INDEX(isyatirim!$A$1:$Z$152,48,MATCH(D$3,isyatirim!$A$1:$Z$1,0))</f>
        <v>8408449000</v>
      </c>
      <c r="E22" s="8">
        <f>INDEX(isyatirim!$A$1:$Z$152,48,MATCH(E$3,isyatirim!$A$1:$Z$1,0))</f>
        <v>10979619000</v>
      </c>
      <c r="F22" s="8">
        <f>INDEX(isyatirim!$A$1:$Z$152,48,MATCH(F$3,isyatirim!$A$1:$Z$1,0))</f>
        <v>110704977693</v>
      </c>
      <c r="G22" s="8">
        <f>INDEX(isyatirim!$A$1:$Z$152,48,MATCH(G$3,isyatirim!$A$1:$Z$1,0))</f>
        <v>130203735212</v>
      </c>
    </row>
    <row r="23" spans="1:7">
      <c r="A23" s="4" t="s">
        <v>181</v>
      </c>
      <c r="B23" s="8">
        <f>INDEX(isyatirim!$A$1:$Z$152,MATCH("Nakit ve Nakit Benzerleri",isyatirim!$A$1:$A$152,0),MATCH(B$3,isyatirim!$A$1:$Z$1,0))</f>
        <v>13542177000</v>
      </c>
      <c r="C23" s="8">
        <f>INDEX(isyatirim!$A$1:$Z$152,MATCH("Nakit ve Nakit Benzerleri",isyatirim!$A$1:$A$152,0),MATCH(C$3,isyatirim!$A$1:$Z$1,0))</f>
        <v>23189668000</v>
      </c>
      <c r="D23" s="8">
        <f>INDEX(isyatirim!$A$1:$Z$152,MATCH("Nakit ve Nakit Benzerleri",isyatirim!$A$1:$A$152,0),MATCH(D$3,isyatirim!$A$1:$Z$1,0))</f>
        <v>15186458000</v>
      </c>
      <c r="E23" s="8">
        <f>INDEX(isyatirim!$A$1:$Z$152,MATCH("Nakit ve Nakit Benzerleri",isyatirim!$A$1:$A$152,0),MATCH(E$3,isyatirim!$A$1:$Z$1,0))</f>
        <v>24072967000</v>
      </c>
      <c r="F23" s="8">
        <f>INDEX(isyatirim!$A$1:$Z$152,MATCH("Nakit ve Nakit Benzerleri",isyatirim!$A$1:$A$152,0),MATCH(F$3,isyatirim!$A$1:$Z$1,0))</f>
        <v>72331091723</v>
      </c>
      <c r="G23" s="8">
        <f>INDEX(isyatirim!$A$1:$Z$152,MATCH("Nakit ve Nakit Benzerleri",isyatirim!$A$1:$A$152,0),MATCH(G$3,isyatirim!$A$1:$Z$1,0))</f>
        <v>127070780476</v>
      </c>
    </row>
    <row r="24" spans="1:7">
      <c r="A24" s="5" t="s">
        <v>182</v>
      </c>
      <c r="B24" s="8">
        <f>B21+B22-B23</f>
        <v>-6943906000</v>
      </c>
      <c r="C24" s="8">
        <f t="shared" ref="C24:G24" si="9">C21+C22-C23</f>
        <v>-6513324000</v>
      </c>
      <c r="D24" s="8">
        <f t="shared" si="9"/>
        <v>14394281000</v>
      </c>
      <c r="E24" s="8">
        <f t="shared" si="9"/>
        <v>43667735000</v>
      </c>
      <c r="F24" s="8">
        <f t="shared" si="9"/>
        <v>86425852561</v>
      </c>
      <c r="G24" s="8">
        <f t="shared" si="9"/>
        <v>47167807062</v>
      </c>
    </row>
    <row r="27" spans="1:7">
      <c r="A27" s="5" t="s">
        <v>187</v>
      </c>
    </row>
    <row r="28" spans="1:7" ht="16">
      <c r="A28" s="13" t="s">
        <v>183</v>
      </c>
      <c r="C28" s="9">
        <f>C4/B4-1</f>
        <v>1.1289110790557508</v>
      </c>
      <c r="D28" s="9">
        <f t="shared" ref="D28:G28" si="10">D4/C4-1</f>
        <v>0.87289671757113907</v>
      </c>
      <c r="E28" s="9">
        <f t="shared" si="10"/>
        <v>0.1574304072859336</v>
      </c>
      <c r="F28" s="9">
        <f t="shared" si="10"/>
        <v>0.80594444365411944</v>
      </c>
      <c r="G28" s="9">
        <f t="shared" si="10"/>
        <v>-0.13932670724804286</v>
      </c>
    </row>
    <row r="29" spans="1:7" ht="16">
      <c r="A29" s="12" t="s">
        <v>184</v>
      </c>
      <c r="C29" s="9">
        <f>C9/B9-1</f>
        <v>3.7503612986673387</v>
      </c>
      <c r="D29" s="9">
        <f t="shared" ref="D29:G29" si="11">D9/C9-1</f>
        <v>-5.1408901317417821E-2</v>
      </c>
      <c r="E29" s="9">
        <f t="shared" si="11"/>
        <v>-0.49846692730384901</v>
      </c>
      <c r="F29" s="9">
        <f t="shared" si="11"/>
        <v>0.38095582094974589</v>
      </c>
      <c r="G29" s="9">
        <f t="shared" si="11"/>
        <v>-0.37192734892057611</v>
      </c>
    </row>
    <row r="30" spans="1:7">
      <c r="A30" s="4" t="s">
        <v>185</v>
      </c>
      <c r="C30" s="9">
        <f>C12/B12-1</f>
        <v>2.97100490378102</v>
      </c>
      <c r="D30" s="9">
        <f t="shared" ref="D30:G30" si="12">D12/C12-1</f>
        <v>7.0541185893802094E-3</v>
      </c>
      <c r="E30" s="9">
        <f t="shared" si="12"/>
        <v>-0.36263825851290366</v>
      </c>
      <c r="F30" s="9">
        <f t="shared" si="12"/>
        <v>0.62510685282798795</v>
      </c>
      <c r="G30" s="9">
        <f t="shared" si="12"/>
        <v>-0.1848584197569485</v>
      </c>
    </row>
    <row r="31" spans="1:7">
      <c r="A31" s="4" t="s">
        <v>186</v>
      </c>
      <c r="C31" s="9">
        <f>C14/B14-1</f>
        <v>0.93564263101647405</v>
      </c>
      <c r="D31" s="9">
        <f t="shared" ref="D31:G31" si="13">D14/C14-1</f>
        <v>1.9546228383813316</v>
      </c>
      <c r="E31" s="9">
        <f t="shared" si="13"/>
        <v>1.0066033904914384</v>
      </c>
      <c r="F31" s="9">
        <f t="shared" si="13"/>
        <v>1.0188639999827807</v>
      </c>
      <c r="G31" s="9">
        <f t="shared" si="13"/>
        <v>-0.63255859688947758</v>
      </c>
    </row>
    <row r="33" spans="1:7">
      <c r="A33" s="19" t="s">
        <v>188</v>
      </c>
    </row>
    <row r="34" spans="1:7" ht="16">
      <c r="A34" s="12" t="s">
        <v>191</v>
      </c>
      <c r="B34" s="9">
        <f>AVERAGE(B7:G7)</f>
        <v>0.17524607766093228</v>
      </c>
      <c r="C34" s="9"/>
      <c r="D34" s="9"/>
      <c r="E34" s="9"/>
      <c r="F34" s="9"/>
      <c r="G34" s="9"/>
    </row>
    <row r="35" spans="1:7" ht="16">
      <c r="A35" s="12" t="s">
        <v>192</v>
      </c>
      <c r="B35" s="9">
        <f>AVERAGE(B10:G10)</f>
        <v>0.14698482071268038</v>
      </c>
    </row>
    <row r="36" spans="1:7" ht="16">
      <c r="A36" s="12" t="s">
        <v>193</v>
      </c>
      <c r="B36" s="9">
        <f>AVERAGE(B13:G13)</f>
        <v>0.18677141207328715</v>
      </c>
    </row>
    <row r="37" spans="1:7" ht="16">
      <c r="A37" s="12" t="s">
        <v>194</v>
      </c>
      <c r="B37" s="9">
        <f>AVERAGE(B15:G15)</f>
        <v>0.10106898552605166</v>
      </c>
    </row>
    <row r="38" spans="1:7" ht="16">
      <c r="A38" s="12" t="s">
        <v>195</v>
      </c>
      <c r="B38" s="9">
        <f>AVERAGE(B16:G16)</f>
        <v>3.978659136060677E-2</v>
      </c>
    </row>
    <row r="40" spans="1:7">
      <c r="A40" s="4" t="s">
        <v>189</v>
      </c>
    </row>
    <row r="41" spans="1:7">
      <c r="A41" s="4" t="s">
        <v>190</v>
      </c>
      <c r="B41" s="9">
        <f>(G4/B4)^(1/5)-1</f>
        <v>0.48300218259195993</v>
      </c>
    </row>
    <row r="42" spans="1:7" ht="16">
      <c r="A42" s="12" t="s">
        <v>196</v>
      </c>
      <c r="B42" s="9">
        <f>(G12/B12)^(1/5)-1</f>
        <v>0.27553047298532363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25C7-3BC7-2445-AD23-92E38C47B479}">
  <dimension ref="A1:H45"/>
  <sheetViews>
    <sheetView topLeftCell="A18" workbookViewId="0">
      <selection activeCell="B43" sqref="B43"/>
    </sheetView>
  </sheetViews>
  <sheetFormatPr baseColWidth="10" defaultRowHeight="15"/>
  <cols>
    <col min="1" max="1" width="25.83203125" customWidth="1"/>
    <col min="2" max="7" width="20.83203125" customWidth="1"/>
  </cols>
  <sheetData>
    <row r="1" spans="1:8">
      <c r="A1" s="20" t="s">
        <v>197</v>
      </c>
    </row>
    <row r="2" spans="1:8">
      <c r="A2" s="20" t="s">
        <v>198</v>
      </c>
    </row>
    <row r="3" spans="1:8">
      <c r="B3" s="7" t="s">
        <v>199</v>
      </c>
      <c r="C3" s="7" t="s">
        <v>200</v>
      </c>
      <c r="D3" s="7" t="s">
        <v>201</v>
      </c>
      <c r="E3" s="7" t="s">
        <v>202</v>
      </c>
      <c r="F3" s="7" t="s">
        <v>203</v>
      </c>
      <c r="G3" s="14" t="s">
        <v>204</v>
      </c>
    </row>
    <row r="5" spans="1:8">
      <c r="A5" s="4" t="s">
        <v>183</v>
      </c>
      <c r="B5" s="16">
        <v>0.08</v>
      </c>
      <c r="C5" s="16">
        <v>0.05</v>
      </c>
      <c r="D5" s="16">
        <v>0.04</v>
      </c>
      <c r="E5" s="16">
        <v>0.03</v>
      </c>
      <c r="F5" s="16">
        <v>0.03</v>
      </c>
    </row>
    <row r="6" spans="1:8">
      <c r="A6" s="4" t="s">
        <v>205</v>
      </c>
      <c r="B6" s="15">
        <f>G6*(1+B5)</f>
        <v>248275595026.80002</v>
      </c>
      <c r="C6" s="15">
        <f>B6*(1+C5)</f>
        <v>260689374778.14005</v>
      </c>
      <c r="D6" s="15">
        <f t="shared" ref="D6:F6" si="0">C6*(1+D5)</f>
        <v>271116949769.26566</v>
      </c>
      <c r="E6" s="15">
        <f t="shared" si="0"/>
        <v>279250458262.34363</v>
      </c>
      <c r="F6" s="15">
        <f t="shared" si="0"/>
        <v>287627972010.21393</v>
      </c>
      <c r="G6" s="15">
        <f>Historical!G4</f>
        <v>229884810210</v>
      </c>
    </row>
    <row r="8" spans="1:8">
      <c r="A8" s="4" t="s">
        <v>168</v>
      </c>
      <c r="B8" s="16">
        <v>0.1</v>
      </c>
      <c r="C8" s="9">
        <v>0.12</v>
      </c>
      <c r="D8" s="9">
        <v>0.13</v>
      </c>
      <c r="E8" s="9">
        <v>0.14000000000000001</v>
      </c>
      <c r="F8" s="9">
        <v>0.14000000000000001</v>
      </c>
    </row>
    <row r="9" spans="1:8">
      <c r="A9" s="4" t="s">
        <v>167</v>
      </c>
      <c r="B9" s="15">
        <f>B8*B6</f>
        <v>24827559502.680004</v>
      </c>
      <c r="C9" s="15">
        <f t="shared" ref="C9:F9" si="1">C8*C6</f>
        <v>31282724973.376804</v>
      </c>
      <c r="D9" s="15">
        <f t="shared" si="1"/>
        <v>35245203470.004539</v>
      </c>
      <c r="E9" s="15">
        <f t="shared" si="1"/>
        <v>39095064156.728111</v>
      </c>
      <c r="F9" s="15">
        <f t="shared" si="1"/>
        <v>40267916081.429955</v>
      </c>
      <c r="G9" s="15">
        <f>Historical!G6</f>
        <v>20428599637</v>
      </c>
    </row>
    <row r="11" spans="1:8">
      <c r="A11" s="4" t="s">
        <v>206</v>
      </c>
      <c r="B11" s="9">
        <v>0.04</v>
      </c>
      <c r="C11" s="9">
        <v>0.04</v>
      </c>
      <c r="D11" s="9">
        <v>0.04</v>
      </c>
      <c r="E11" s="9">
        <v>0.04</v>
      </c>
      <c r="F11" s="9">
        <v>0.04</v>
      </c>
    </row>
    <row r="12" spans="1:8">
      <c r="A12" s="4" t="s">
        <v>207</v>
      </c>
      <c r="B12" s="15">
        <f>-B6*B11</f>
        <v>-9931023801.0720005</v>
      </c>
      <c r="C12" s="15">
        <f t="shared" ref="C12:F12" si="2">-C6*C11</f>
        <v>-10427574991.125603</v>
      </c>
      <c r="D12" s="15">
        <f t="shared" si="2"/>
        <v>-10844677990.770626</v>
      </c>
      <c r="E12" s="15">
        <f t="shared" si="2"/>
        <v>-11170018330.493746</v>
      </c>
      <c r="F12" s="15">
        <f t="shared" si="2"/>
        <v>-11505118880.408558</v>
      </c>
      <c r="G12" s="15">
        <f>Historical!G8</f>
        <v>-10353705857</v>
      </c>
      <c r="H12" s="15"/>
    </row>
    <row r="14" spans="1:8">
      <c r="A14" s="4" t="s">
        <v>161</v>
      </c>
      <c r="B14" s="15">
        <f>B9+B12</f>
        <v>14896535701.608004</v>
      </c>
      <c r="C14" s="15">
        <f t="shared" ref="C14:F14" si="3">C9+C12</f>
        <v>20855149982.251202</v>
      </c>
      <c r="D14" s="15">
        <f t="shared" si="3"/>
        <v>24400525479.233913</v>
      </c>
      <c r="E14" s="15">
        <f t="shared" si="3"/>
        <v>27925045826.234367</v>
      </c>
      <c r="F14" s="15">
        <f t="shared" si="3"/>
        <v>28762797201.021397</v>
      </c>
      <c r="G14" s="15">
        <f>Historical!G9</f>
        <v>10074893780</v>
      </c>
    </row>
    <row r="15" spans="1:8">
      <c r="A15" s="4" t="s">
        <v>170</v>
      </c>
      <c r="B15" s="9">
        <f>B14/B6</f>
        <v>6.0000000000000012E-2</v>
      </c>
      <c r="C15" s="9">
        <f t="shared" ref="C15:F15" si="4">C14/C6</f>
        <v>7.9999999999999988E-2</v>
      </c>
      <c r="D15" s="9">
        <f t="shared" si="4"/>
        <v>9.0000000000000011E-2</v>
      </c>
      <c r="E15" s="9">
        <f t="shared" si="4"/>
        <v>0.10000000000000002</v>
      </c>
      <c r="F15" s="9">
        <f t="shared" si="4"/>
        <v>0.10000000000000002</v>
      </c>
    </row>
    <row r="17" spans="1:7">
      <c r="A17" s="4" t="s">
        <v>175</v>
      </c>
      <c r="B17" s="9">
        <v>5.5E-2</v>
      </c>
      <c r="C17" s="9">
        <v>0.06</v>
      </c>
      <c r="D17" s="16">
        <v>6.5000000000000002E-2</v>
      </c>
      <c r="E17" s="16">
        <v>6.5000000000000002E-2</v>
      </c>
      <c r="F17" s="16">
        <v>6.5000000000000002E-2</v>
      </c>
    </row>
    <row r="18" spans="1:7">
      <c r="A18" s="4" t="s">
        <v>208</v>
      </c>
      <c r="B18" s="15">
        <f>B6*B17</f>
        <v>13655157726.474001</v>
      </c>
      <c r="C18" s="15">
        <f t="shared" ref="C18:F18" si="5">C6*C17</f>
        <v>15641362486.688402</v>
      </c>
      <c r="D18" s="15">
        <f t="shared" si="5"/>
        <v>17622601735.00227</v>
      </c>
      <c r="E18" s="15">
        <f t="shared" si="5"/>
        <v>18151279787.052338</v>
      </c>
      <c r="F18" s="15">
        <f t="shared" si="5"/>
        <v>18695818180.663906</v>
      </c>
      <c r="G18" s="15">
        <f>Historical!G11</f>
        <v>12429722573</v>
      </c>
    </row>
    <row r="20" spans="1:7">
      <c r="A20" s="4" t="s">
        <v>162</v>
      </c>
      <c r="B20" s="15">
        <f>B14+B18</f>
        <v>28551693428.082005</v>
      </c>
      <c r="C20" s="15">
        <f t="shared" ref="C20:F20" si="6">C14+C18</f>
        <v>36496512468.939606</v>
      </c>
      <c r="D20" s="15">
        <f t="shared" si="6"/>
        <v>42023127214.236183</v>
      </c>
      <c r="E20" s="15">
        <f t="shared" si="6"/>
        <v>46076325613.286705</v>
      </c>
      <c r="F20" s="15">
        <f t="shared" si="6"/>
        <v>47458615381.685303</v>
      </c>
      <c r="G20" s="15">
        <f>Historical!G12</f>
        <v>22504616353</v>
      </c>
    </row>
    <row r="21" spans="1:7">
      <c r="A21" s="4" t="s">
        <v>172</v>
      </c>
      <c r="B21" s="9">
        <f>B20/B6</f>
        <v>0.115</v>
      </c>
      <c r="C21" s="9">
        <f t="shared" ref="C21:F21" si="7">C20/C6</f>
        <v>0.13999999999999999</v>
      </c>
      <c r="D21" s="9">
        <f t="shared" si="7"/>
        <v>0.15500000000000003</v>
      </c>
      <c r="E21" s="9">
        <f t="shared" si="7"/>
        <v>0.16500000000000004</v>
      </c>
      <c r="F21" s="9">
        <f t="shared" si="7"/>
        <v>0.16500000000000001</v>
      </c>
    </row>
    <row r="23" spans="1:7">
      <c r="A23" s="4" t="s">
        <v>209</v>
      </c>
      <c r="B23" s="9">
        <v>0.25</v>
      </c>
      <c r="C23" s="9">
        <v>0.25</v>
      </c>
      <c r="D23" s="9">
        <v>0.25</v>
      </c>
      <c r="E23" s="9">
        <v>0.25</v>
      </c>
      <c r="F23" s="9">
        <v>0.25</v>
      </c>
    </row>
    <row r="24" spans="1:7">
      <c r="A24" s="4" t="s">
        <v>210</v>
      </c>
      <c r="B24" s="15">
        <f>-B14*B23</f>
        <v>-3724133925.4020009</v>
      </c>
      <c r="C24" s="15">
        <f t="shared" ref="C24:F24" si="8">-C14*C23</f>
        <v>-5213787495.5628004</v>
      </c>
      <c r="D24" s="15">
        <f t="shared" si="8"/>
        <v>-6100131369.8084784</v>
      </c>
      <c r="E24" s="15">
        <f t="shared" si="8"/>
        <v>-6981261456.5585918</v>
      </c>
      <c r="F24" s="15">
        <f t="shared" si="8"/>
        <v>-7190699300.2553492</v>
      </c>
    </row>
    <row r="25" spans="1:7">
      <c r="A25" s="4" t="s">
        <v>211</v>
      </c>
      <c r="B25" s="17">
        <f>B14+B24</f>
        <v>11172401776.206003</v>
      </c>
      <c r="C25" s="17">
        <f t="shared" ref="C25:F25" si="9">C14+C24</f>
        <v>15641362486.6884</v>
      </c>
      <c r="D25" s="17">
        <f t="shared" si="9"/>
        <v>18300394109.425434</v>
      </c>
      <c r="E25" s="17">
        <f t="shared" si="9"/>
        <v>20943784369.675774</v>
      </c>
      <c r="F25" s="17">
        <f t="shared" si="9"/>
        <v>21572097900.766048</v>
      </c>
    </row>
    <row r="27" spans="1:7">
      <c r="A27" s="4" t="s">
        <v>216</v>
      </c>
      <c r="B27" s="15">
        <f>B18</f>
        <v>13655157726.474001</v>
      </c>
      <c r="C27" s="15">
        <f t="shared" ref="C27:F27" si="10">C18</f>
        <v>15641362486.688402</v>
      </c>
      <c r="D27" s="15">
        <f t="shared" si="10"/>
        <v>17622601735.00227</v>
      </c>
      <c r="E27" s="15">
        <f t="shared" si="10"/>
        <v>18151279787.052338</v>
      </c>
      <c r="F27" s="15">
        <f t="shared" si="10"/>
        <v>18695818180.663906</v>
      </c>
      <c r="G27" s="15">
        <f>Historical!G11</f>
        <v>12429722573</v>
      </c>
    </row>
    <row r="28" spans="1:7">
      <c r="A28" s="4" t="s">
        <v>174</v>
      </c>
      <c r="B28" s="9">
        <v>7.0000000000000007E-2</v>
      </c>
      <c r="C28" s="9">
        <v>0.06</v>
      </c>
      <c r="D28" s="9">
        <v>5.5E-2</v>
      </c>
      <c r="E28" s="9">
        <v>0.05</v>
      </c>
      <c r="F28" s="9">
        <v>0.05</v>
      </c>
    </row>
    <row r="29" spans="1:7">
      <c r="A29" s="4" t="s">
        <v>212</v>
      </c>
      <c r="B29" s="15">
        <f>-B6*B28</f>
        <v>-17379291651.876003</v>
      </c>
      <c r="C29" s="15">
        <f t="shared" ref="C29:F29" si="11">-C6*C28</f>
        <v>-15641362486.688402</v>
      </c>
      <c r="D29" s="15">
        <f t="shared" si="11"/>
        <v>-14911432237.30961</v>
      </c>
      <c r="E29" s="15">
        <f t="shared" si="11"/>
        <v>-13962522913.117182</v>
      </c>
      <c r="F29" s="15">
        <f t="shared" si="11"/>
        <v>-14381398600.510696</v>
      </c>
      <c r="G29" s="15">
        <f>Historical!G14</f>
        <v>-16887458599</v>
      </c>
    </row>
    <row r="30" spans="1:7">
      <c r="A30" t="s">
        <v>213</v>
      </c>
      <c r="B30" s="9">
        <v>0.15</v>
      </c>
      <c r="C30" s="9">
        <v>0.15</v>
      </c>
      <c r="D30" s="9">
        <v>0.15</v>
      </c>
      <c r="E30" s="9">
        <v>0.15</v>
      </c>
      <c r="F30" s="9">
        <v>0.15</v>
      </c>
    </row>
    <row r="31" spans="1:7">
      <c r="A31" s="4" t="s">
        <v>214</v>
      </c>
      <c r="B31" s="15">
        <f>-(B6-G6)*B30</f>
        <v>-2758617722.5200028</v>
      </c>
      <c r="C31" s="15">
        <f>-(C6-B6)*C30</f>
        <v>-1862066962.701004</v>
      </c>
      <c r="D31" s="15">
        <f t="shared" ref="D31:F31" si="12">-(D6-C6)*D30</f>
        <v>-1564136248.6688416</v>
      </c>
      <c r="E31" s="15">
        <f t="shared" si="12"/>
        <v>-1220026273.9616959</v>
      </c>
      <c r="F31" s="15">
        <f t="shared" si="12"/>
        <v>-1256627062.1805451</v>
      </c>
    </row>
    <row r="33" spans="1:6">
      <c r="A33" s="4" t="s">
        <v>215</v>
      </c>
      <c r="B33" s="17">
        <f>B25+B27+B29+B31</f>
        <v>4689650128.2839985</v>
      </c>
      <c r="C33" s="17">
        <f t="shared" ref="C33:F33" si="13">C25+C27+C29+C31</f>
        <v>13779295523.987394</v>
      </c>
      <c r="D33" s="17">
        <f t="shared" si="13"/>
        <v>19447427358.449253</v>
      </c>
      <c r="E33" s="17">
        <f t="shared" si="13"/>
        <v>23912514969.649235</v>
      </c>
      <c r="F33" s="17">
        <f t="shared" si="13"/>
        <v>24629890418.738712</v>
      </c>
    </row>
    <row r="35" spans="1:6">
      <c r="A35" s="19" t="s">
        <v>236</v>
      </c>
    </row>
    <row r="37" spans="1:6">
      <c r="A37" s="4" t="s">
        <v>237</v>
      </c>
      <c r="B37" s="15">
        <f>F33</f>
        <v>24629890418.738712</v>
      </c>
    </row>
    <row r="38" spans="1:6">
      <c r="A38" s="4" t="s">
        <v>238</v>
      </c>
      <c r="B38" s="9">
        <v>2.5000000000000001E-2</v>
      </c>
    </row>
    <row r="39" spans="1:6">
      <c r="A39" s="4" t="s">
        <v>239</v>
      </c>
      <c r="B39" s="18">
        <f>WACC!B23</f>
        <v>0.14821391761583927</v>
      </c>
    </row>
    <row r="40" spans="1:6">
      <c r="A40" s="4" t="s">
        <v>240</v>
      </c>
      <c r="B40" s="15">
        <f>B37*(1+B38)/(B39-B38)</f>
        <v>204892743999.25275</v>
      </c>
    </row>
    <row r="42" spans="1:6">
      <c r="A42" s="4" t="s">
        <v>241</v>
      </c>
      <c r="B42" s="15">
        <f>F20</f>
        <v>47458615381.685303</v>
      </c>
    </row>
    <row r="43" spans="1:6">
      <c r="A43" s="4" t="s">
        <v>242</v>
      </c>
      <c r="B43">
        <v>10</v>
      </c>
    </row>
    <row r="44" spans="1:6">
      <c r="A44" s="4" t="s">
        <v>243</v>
      </c>
      <c r="B44" s="15">
        <f>B42*B43</f>
        <v>474586153816.85303</v>
      </c>
    </row>
    <row r="45" spans="1:6">
      <c r="A45" s="4" t="s">
        <v>244</v>
      </c>
      <c r="B45" s="15">
        <f>AVERAGE(B40,B44)</f>
        <v>339739448908.05286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FE1F-8952-CC47-B4A7-A75D7021385B}">
  <dimension ref="A1:B23"/>
  <sheetViews>
    <sheetView workbookViewId="0">
      <selection activeCell="B13" sqref="B13"/>
    </sheetView>
  </sheetViews>
  <sheetFormatPr baseColWidth="10" defaultRowHeight="15"/>
  <cols>
    <col min="1" max="1" width="25.83203125" customWidth="1"/>
    <col min="2" max="9" width="20.83203125" customWidth="1"/>
  </cols>
  <sheetData>
    <row r="1" spans="1:2">
      <c r="A1" s="4" t="s">
        <v>217</v>
      </c>
    </row>
    <row r="2" spans="1:2">
      <c r="A2" s="4" t="s">
        <v>218</v>
      </c>
    </row>
    <row r="4" spans="1:2">
      <c r="A4" s="4" t="s">
        <v>219</v>
      </c>
    </row>
    <row r="5" spans="1:2">
      <c r="A5" s="4" t="s">
        <v>220</v>
      </c>
      <c r="B5" s="9">
        <v>5.5E-2</v>
      </c>
    </row>
    <row r="6" spans="1:2">
      <c r="A6" s="4" t="s">
        <v>221</v>
      </c>
      <c r="B6">
        <v>1</v>
      </c>
    </row>
    <row r="7" spans="1:2">
      <c r="A7" s="4" t="s">
        <v>222</v>
      </c>
      <c r="B7" s="18">
        <v>4.2299999999999997E-2</v>
      </c>
    </row>
    <row r="8" spans="1:2">
      <c r="A8" s="4" t="s">
        <v>223</v>
      </c>
      <c r="B8" s="18">
        <v>6.6400000000000001E-2</v>
      </c>
    </row>
    <row r="9" spans="1:2">
      <c r="A9" s="4" t="s">
        <v>224</v>
      </c>
      <c r="B9" s="9">
        <f>B5+B6*B7+B8</f>
        <v>0.16370000000000001</v>
      </c>
    </row>
    <row r="11" spans="1:2">
      <c r="A11" s="4" t="s">
        <v>225</v>
      </c>
    </row>
    <row r="12" spans="1:2">
      <c r="A12" s="4" t="s">
        <v>226</v>
      </c>
      <c r="B12" s="9">
        <v>0.09</v>
      </c>
    </row>
    <row r="13" spans="1:2">
      <c r="A13" s="4" t="s">
        <v>227</v>
      </c>
      <c r="B13" s="9">
        <v>0.25</v>
      </c>
    </row>
    <row r="14" spans="1:2">
      <c r="A14" s="4" t="s">
        <v>228</v>
      </c>
      <c r="B14" s="18">
        <f>B12*(1-B13)</f>
        <v>6.7500000000000004E-2</v>
      </c>
    </row>
    <row r="16" spans="1:2">
      <c r="A16" s="4" t="s">
        <v>229</v>
      </c>
    </row>
    <row r="17" spans="1:2">
      <c r="A17" s="4" t="s">
        <v>230</v>
      </c>
      <c r="B17" s="15">
        <f>DCF!B20*DCF!B18</f>
        <v>245839999999.99997</v>
      </c>
    </row>
    <row r="18" spans="1:2">
      <c r="A18" s="4" t="s">
        <v>231</v>
      </c>
      <c r="B18" s="15">
        <f>Historical!G24</f>
        <v>47167807062</v>
      </c>
    </row>
    <row r="19" spans="1:2">
      <c r="A19" s="4" t="s">
        <v>232</v>
      </c>
      <c r="B19" s="15">
        <f>B17+B18</f>
        <v>293007807062</v>
      </c>
    </row>
    <row r="20" spans="1:2">
      <c r="A20" s="4" t="s">
        <v>233</v>
      </c>
      <c r="B20" s="9">
        <f>B17/B19</f>
        <v>0.83902201263866194</v>
      </c>
    </row>
    <row r="21" spans="1:2">
      <c r="A21" s="4" t="s">
        <v>234</v>
      </c>
      <c r="B21" s="9">
        <f>B18/B19</f>
        <v>0.160977987361338</v>
      </c>
    </row>
    <row r="23" spans="1:2">
      <c r="A23" s="4" t="s">
        <v>235</v>
      </c>
      <c r="B23" s="9">
        <f>B20*B9+B21*B14</f>
        <v>0.14821391761583927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5FF8-6138-0F49-A28B-4015456FADF9}">
  <dimension ref="A1:F21"/>
  <sheetViews>
    <sheetView workbookViewId="0">
      <selection activeCell="B19" sqref="B19"/>
    </sheetView>
  </sheetViews>
  <sheetFormatPr baseColWidth="10" defaultRowHeight="15"/>
  <cols>
    <col min="1" max="1" width="19.83203125" bestFit="1" customWidth="1"/>
    <col min="2" max="6" width="20.83203125" customWidth="1"/>
  </cols>
  <sheetData>
    <row r="1" spans="1:6">
      <c r="A1" s="4" t="s">
        <v>245</v>
      </c>
    </row>
    <row r="2" spans="1:6">
      <c r="A2" s="4" t="s">
        <v>218</v>
      </c>
    </row>
    <row r="4" spans="1:6">
      <c r="A4" s="5" t="s">
        <v>246</v>
      </c>
      <c r="B4" s="5">
        <v>1</v>
      </c>
      <c r="C4" s="5">
        <v>2</v>
      </c>
      <c r="D4" s="5">
        <v>3</v>
      </c>
      <c r="E4" s="5">
        <v>4</v>
      </c>
      <c r="F4" s="5">
        <v>5</v>
      </c>
    </row>
    <row r="5" spans="1:6">
      <c r="A5" s="21" t="s">
        <v>247</v>
      </c>
      <c r="B5" s="7" t="s">
        <v>199</v>
      </c>
      <c r="C5" s="7" t="s">
        <v>200</v>
      </c>
      <c r="D5" s="7" t="s">
        <v>201</v>
      </c>
      <c r="E5" s="7" t="s">
        <v>202</v>
      </c>
      <c r="F5" s="7" t="s">
        <v>203</v>
      </c>
    </row>
    <row r="6" spans="1:6">
      <c r="A6" s="20" t="s">
        <v>215</v>
      </c>
      <c r="B6" s="22">
        <f>Projections_TL!B33</f>
        <v>4689650128.2839985</v>
      </c>
      <c r="C6" s="22">
        <f>Projections_TL!C33</f>
        <v>13779295523.987394</v>
      </c>
      <c r="D6" s="22">
        <f>Projections_TL!D33</f>
        <v>19447427358.449253</v>
      </c>
      <c r="E6" s="22">
        <f>Projections_TL!E33</f>
        <v>23912514969.649235</v>
      </c>
      <c r="F6" s="22">
        <f>Projections_TL!F33</f>
        <v>24629890418.738712</v>
      </c>
    </row>
    <row r="7" spans="1:6">
      <c r="A7" s="20" t="s">
        <v>248</v>
      </c>
      <c r="B7" s="23">
        <f>1/(1+WACC!$B$23)^B4</f>
        <v>0.87091785307428438</v>
      </c>
      <c r="C7" s="23">
        <f>1/(1+WACC!$B$23)^C4</f>
        <v>0.75849790680352092</v>
      </c>
      <c r="D7" s="23">
        <f>1/(1+WACC!$B$23)^D4</f>
        <v>0.6605893685546611</v>
      </c>
      <c r="E7" s="23">
        <f>1/(1+WACC!$B$23)^E4</f>
        <v>0.57531907462532272</v>
      </c>
      <c r="F7" s="23">
        <f>1/(1+WACC!$B$23)^F4</f>
        <v>0.50105565330537005</v>
      </c>
    </row>
    <row r="8" spans="1:6">
      <c r="A8" s="20" t="s">
        <v>249</v>
      </c>
      <c r="B8" s="15">
        <f>B6*B7</f>
        <v>4084300021.3946424</v>
      </c>
      <c r="C8" s="15">
        <f t="shared" ref="C8:F8" si="0">C6*C7</f>
        <v>10451566812.171564</v>
      </c>
      <c r="D8" s="15">
        <f t="shared" si="0"/>
        <v>12846763758.730633</v>
      </c>
      <c r="E8" s="15">
        <f t="shared" si="0"/>
        <v>13757325984.302774</v>
      </c>
      <c r="F8" s="15">
        <f t="shared" si="0"/>
        <v>12340945834.6008</v>
      </c>
    </row>
    <row r="9" spans="1:6">
      <c r="A9" s="20"/>
    </row>
    <row r="10" spans="1:6">
      <c r="A10" s="20"/>
    </row>
    <row r="11" spans="1:6">
      <c r="A11" s="20" t="s">
        <v>250</v>
      </c>
      <c r="B11">
        <f>Projections_TL!B45</f>
        <v>339739448908.05286</v>
      </c>
    </row>
    <row r="12" spans="1:6">
      <c r="A12" s="20" t="s">
        <v>251</v>
      </c>
      <c r="B12" s="23">
        <f>F7</f>
        <v>0.50105565330537005</v>
      </c>
    </row>
    <row r="13" spans="1:6">
      <c r="A13" s="20" t="s">
        <v>252</v>
      </c>
      <c r="B13">
        <f>B11*B12</f>
        <v>170228371526.2308</v>
      </c>
    </row>
    <row r="14" spans="1:6">
      <c r="A14" s="20"/>
    </row>
    <row r="15" spans="1:6">
      <c r="A15" s="20" t="s">
        <v>253</v>
      </c>
      <c r="B15" s="17">
        <f>SUM(B8:F8)+B13</f>
        <v>223709273937.43121</v>
      </c>
    </row>
    <row r="16" spans="1:6">
      <c r="A16" s="20" t="s">
        <v>254</v>
      </c>
      <c r="B16">
        <f>Historical!G24</f>
        <v>47167807062</v>
      </c>
    </row>
    <row r="17" spans="1:2">
      <c r="A17" s="20" t="s">
        <v>255</v>
      </c>
      <c r="B17" s="17">
        <f>B15-B16</f>
        <v>176541466875.43121</v>
      </c>
    </row>
    <row r="18" spans="1:2">
      <c r="A18" s="20" t="s">
        <v>256</v>
      </c>
      <c r="B18">
        <v>7000000000</v>
      </c>
    </row>
    <row r="19" spans="1:2">
      <c r="A19" s="20" t="s">
        <v>257</v>
      </c>
      <c r="B19" s="1">
        <f>B17/B18</f>
        <v>25.22020955363303</v>
      </c>
    </row>
    <row r="20" spans="1:2">
      <c r="A20" s="20" t="s">
        <v>258</v>
      </c>
      <c r="B20">
        <v>35.119999999999997</v>
      </c>
    </row>
    <row r="21" spans="1:2">
      <c r="A21" s="20" t="s">
        <v>259</v>
      </c>
      <c r="B21" s="9">
        <f>B19/B20-1</f>
        <v>-0.28188469380315972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519B-B3B1-7B4C-A56E-300B9C0E1E3E}">
  <dimension ref="A1:H10"/>
  <sheetViews>
    <sheetView tabSelected="1" workbookViewId="0">
      <selection activeCell="D8" sqref="D8"/>
    </sheetView>
  </sheetViews>
  <sheetFormatPr baseColWidth="10" defaultRowHeight="15"/>
  <sheetData>
    <row r="1" spans="1:8">
      <c r="A1" s="4" t="s">
        <v>260</v>
      </c>
    </row>
    <row r="2" spans="1:8">
      <c r="A2" s="20" t="s">
        <v>257</v>
      </c>
    </row>
    <row r="4" spans="1:8">
      <c r="A4" s="24"/>
      <c r="H4" s="4"/>
    </row>
    <row r="5" spans="1:8" ht="16">
      <c r="A5" s="24" t="s">
        <v>261</v>
      </c>
      <c r="B5" s="9">
        <v>1.4999999999999999E-2</v>
      </c>
      <c r="C5" s="9">
        <v>0.02</v>
      </c>
      <c r="D5" s="9">
        <v>2.5000000000000001E-2</v>
      </c>
      <c r="E5" s="9">
        <v>0.03</v>
      </c>
      <c r="F5" s="9">
        <v>3.5000000000000003E-2</v>
      </c>
    </row>
    <row r="6" spans="1:8">
      <c r="A6" s="9">
        <v>0.13</v>
      </c>
      <c r="B6">
        <f>(Projections_TL!$B$33/(1+$A6)^1+Projections_TL!$C$33/(1+$A6)^2+Projections_TL!$D$33/(1+$A6)^3+Projections_TL!$E$33/(1+$A6)^4+Projections_TL!$F$33/(1+$A6)^5+((Projections_TL!$F$33*(1+B$5)/($A6-B$5)+Projections_TL!$F$20*Projections_TL!$B$43)/2)/(1+$A6)^5-Historical!$G$24)/DCF!$B$18</f>
        <v>28.153278450288351</v>
      </c>
      <c r="C6">
        <f>(Projections_TL!$B$33/(1+$A6)^1+Projections_TL!$C$33/(1+$A6)^2+Projections_TL!$D$33/(1+$A6)^3+Projections_TL!$E$33/(1+$A6)^4+Projections_TL!$F$33/(1+$A6)^5+((Projections_TL!$F$33*(1+C$5)/($A6-C$5)+Projections_TL!$F$20*Projections_TL!$B$43)/2)/(1+$A6)^5-Historical!$G$24)/DCF!$B$18</f>
        <v>28.579759902984662</v>
      </c>
      <c r="D6">
        <f>(Projections_TL!$B$33/(1+$A6)^1+Projections_TL!$C$33/(1+$A6)^2+Projections_TL!$D$33/(1+$A6)^3+Projections_TL!$E$33/(1+$A6)^4+Projections_TL!$F$33/(1+$A6)^5+((Projections_TL!$F$33*(1+D$5)/($A6-D$5)+Projections_TL!$F$20*Projections_TL!$B$43)/2)/(1+$A6)^5-Historical!$G$24)/DCF!$B$18</f>
        <v>29.046858636890143</v>
      </c>
      <c r="E6">
        <f>(Projections_TL!$B$33/(1+$A6)^1+Projections_TL!$C$33/(1+$A6)^2+Projections_TL!$D$33/(1+$A6)^3+Projections_TL!$E$33/(1+$A6)^4+Projections_TL!$F$33/(1+$A6)^5+((Projections_TL!$F$33*(1+E$5)/($A6-E$5)+Projections_TL!$F$20*Projections_TL!$B$43)/2)/(1+$A6)^5-Historical!$G$24)/DCF!$B$18</f>
        <v>29.560667244186178</v>
      </c>
      <c r="F6">
        <f>(Projections_TL!$B$33/(1+$A6)^1+Projections_TL!$C$33/(1+$A6)^2+Projections_TL!$D$33/(1+$A6)^3+Projections_TL!$E$33/(1+$A6)^4+Projections_TL!$F$33/(1+$A6)^5+((Projections_TL!$F$33*(1+F$5)/($A6-F$5)+Projections_TL!$F$20*Projections_TL!$B$43)/2)/(1+$A6)^5-Historical!$G$24)/DCF!$B$18</f>
        <v>30.128560968039686</v>
      </c>
    </row>
    <row r="7" spans="1:8">
      <c r="A7" s="9">
        <v>0.14000000000000001</v>
      </c>
      <c r="B7">
        <f>(Projections_TL!$B$33/(1+$A7)^1+Projections_TL!$C$33/(1+$A7)^2+Projections_TL!$D$33/(1+$A7)^3+Projections_TL!$E$33/(1+$A7)^4+Projections_TL!$F$33/(1+$A7)^5+((Projections_TL!$F$33*(1+B$5)/($A7-B$5)+Projections_TL!$F$20*Projections_TL!$B$43)/2)/(1+$A7)^5-Historical!$G$24)/DCF!$B$18</f>
        <v>26.114757725933011</v>
      </c>
      <c r="C7">
        <f>(Projections_TL!$B$33/(1+$A7)^1+Projections_TL!$C$33/(1+$A7)^2+Projections_TL!$D$33/(1+$A7)^3+Projections_TL!$E$33/(1+$A7)^4+Projections_TL!$F$33/(1+$A7)^5+((Projections_TL!$F$33*(1+C$5)/($A7-C$5)+Projections_TL!$F$20*Projections_TL!$B$43)/2)/(1+$A7)^5-Historical!$G$24)/DCF!$B$18</f>
        <v>26.461968972378823</v>
      </c>
      <c r="D7">
        <f>(Projections_TL!$B$33/(1+$A7)^1+Projections_TL!$C$33/(1+$A7)^2+Projections_TL!$D$33/(1+$A7)^3+Projections_TL!$E$33/(1+$A7)^4+Projections_TL!$F$33/(1+$A7)^5+((Projections_TL!$F$33*(1+D$5)/($A7-D$5)+Projections_TL!$F$20*Projections_TL!$B$43)/2)/(1+$A7)^5-Historical!$G$24)/DCF!$B$18</f>
        <v>26.839372501124277</v>
      </c>
      <c r="E7">
        <f>(Projections_TL!$B$33/(1+$A7)^1+Projections_TL!$C$33/(1+$A7)^2+Projections_TL!$D$33/(1+$A7)^3+Projections_TL!$E$33/(1+$A7)^4+Projections_TL!$F$33/(1+$A7)^5+((Projections_TL!$F$33*(1+E$5)/($A7-E$5)+Projections_TL!$F$20*Projections_TL!$B$43)/2)/(1+$A7)^5-Historical!$G$24)/DCF!$B$18</f>
        <v>27.251085441573856</v>
      </c>
      <c r="F7">
        <f>(Projections_TL!$B$33/(1+$A7)^1+Projections_TL!$C$33/(1+$A7)^2+Projections_TL!$D$33/(1+$A7)^3+Projections_TL!$E$33/(1+$A7)^4+Projections_TL!$F$33/(1+$A7)^5+((Projections_TL!$F$33*(1+F$5)/($A7-F$5)+Projections_TL!$F$20*Projections_TL!$B$43)/2)/(1+$A7)^5-Historical!$G$24)/DCF!$B$18</f>
        <v>27.702009138256727</v>
      </c>
    </row>
    <row r="8" spans="1:8">
      <c r="A8" s="18">
        <v>0.14829999999999999</v>
      </c>
      <c r="B8">
        <f>(Projections_TL!$B$33/(1+$A8)^1+Projections_TL!$C$33/(1+$A8)^2+Projections_TL!$D$33/(1+$A8)^3+Projections_TL!$E$33/(1+$A8)^4+Projections_TL!$F$33/(1+$A8)^5+((Projections_TL!$F$33*(1+B$5)/($A8-B$5)+Projections_TL!$F$20*Projections_TL!$B$43)/2)/(1+$A8)^5-Historical!$G$24)/DCF!$B$18</f>
        <v>24.588417864905281</v>
      </c>
      <c r="C8">
        <f>(Projections_TL!$B$33/(1+$A8)^1+Projections_TL!$C$33/(1+$A8)^2+Projections_TL!$D$33/(1+$A8)^3+Projections_TL!$E$33/(1+$A8)^4+Projections_TL!$F$33/(1+$A8)^5+((Projections_TL!$F$33*(1+C$5)/($A8-C$5)+Projections_TL!$F$20*Projections_TL!$B$43)/2)/(1+$A8)^5-Historical!$G$24)/DCF!$B$18</f>
        <v>24.884236945663531</v>
      </c>
      <c r="D8">
        <f>(Projections_TL!$B$33/(1+$A8)^1+Projections_TL!$C$33/(1+$A8)^2+Projections_TL!$D$33/(1+$A8)^3+Projections_TL!$E$33/(1+$A8)^4+Projections_TL!$F$33/(1+$A8)^5+((Projections_TL!$F$33*(1+D$5)/($A8-D$5)+Projections_TL!$F$20*Projections_TL!$B$43)/2)/(1+$A8)^5-Historical!$G$24)/DCF!$B$18</f>
        <v>25.204047841568439</v>
      </c>
      <c r="E8">
        <f>(Projections_TL!$B$33/(1+$A8)^1+Projections_TL!$C$33/(1+$A8)^2+Projections_TL!$D$33/(1+$A8)^3+Projections_TL!$E$33/(1+$A8)^4+Projections_TL!$F$33/(1+$A8)^5+((Projections_TL!$F$33*(1+E$5)/($A8-E$5)+Projections_TL!$F$20*Projections_TL!$B$43)/2)/(1+$A8)^5-Historical!$G$24)/DCF!$B$18</f>
        <v>25.550892625546457</v>
      </c>
      <c r="F8">
        <f>(Projections_TL!$B$33/(1+$A8)^1+Projections_TL!$C$33/(1+$A8)^2+Projections_TL!$D$33/(1+$A8)^3+Projections_TL!$E$33/(1+$A8)^4+Projections_TL!$F$33/(1+$A8)^5+((Projections_TL!$F$33*(1+F$5)/($A8-F$5)+Projections_TL!$F$20*Projections_TL!$B$43)/2)/(1+$A8)^5-Historical!$G$24)/DCF!$B$18</f>
        <v>25.928350364862347</v>
      </c>
    </row>
    <row r="9" spans="1:8">
      <c r="A9" s="9">
        <v>0.16</v>
      </c>
      <c r="B9">
        <f>(Projections_TL!$B$33/(1+$A9)^1+Projections_TL!$C$33/(1+$A9)^2+Projections_TL!$D$33/(1+$A9)^3+Projections_TL!$E$33/(1+$A9)^4+Projections_TL!$F$33/(1+$A9)^5+((Projections_TL!$F$33*(1+B$5)/($A9-B$5)+Projections_TL!$F$20*Projections_TL!$B$43)/2)/(1+$A9)^5-Historical!$G$24)/DCF!$B$18</f>
        <v>22.64702034203432</v>
      </c>
      <c r="C9">
        <f>(Projections_TL!$B$33/(1+$A9)^1+Projections_TL!$C$33/(1+$A9)^2+Projections_TL!$D$33/(1+$A9)^3+Projections_TL!$E$33/(1+$A9)^4+Projections_TL!$F$33/(1+$A9)^5+((Projections_TL!$F$33*(1+C$5)/($A9-C$5)+Projections_TL!$F$20*Projections_TL!$B$43)/2)/(1+$A9)^5-Historical!$G$24)/DCF!$B$18</f>
        <v>22.886338941964674</v>
      </c>
      <c r="D9">
        <f>(Projections_TL!$B$33/(1+$A9)^1+Projections_TL!$C$33/(1+$A9)^2+Projections_TL!$D$33/(1+$A9)^3+Projections_TL!$E$33/(1+$A9)^4+Projections_TL!$F$33/(1+$A9)^5+((Projections_TL!$F$33*(1+D$5)/($A9-D$5)+Projections_TL!$F$20*Projections_TL!$B$43)/2)/(1+$A9)^5-Historical!$G$24)/DCF!$B$18</f>
        <v>23.143384845593562</v>
      </c>
      <c r="E9">
        <f>(Projections_TL!$B$33/(1+$A9)^1+Projections_TL!$C$33/(1+$A9)^2+Projections_TL!$D$33/(1+$A9)^3+Projections_TL!$E$33/(1+$A9)^4+Projections_TL!$F$33/(1+$A9)^5+((Projections_TL!$F$33*(1+E$5)/($A9-E$5)+Projections_TL!$F$20*Projections_TL!$B$43)/2)/(1+$A9)^5-Historical!$G$24)/DCF!$B$18</f>
        <v>23.420203511040061</v>
      </c>
      <c r="F9">
        <f>(Projections_TL!$B$33/(1+$A9)^1+Projections_TL!$C$33/(1+$A9)^2+Projections_TL!$D$33/(1+$A9)^3+Projections_TL!$E$33/(1+$A9)^4+Projections_TL!$F$33/(1+$A9)^5+((Projections_TL!$F$33*(1+F$5)/($A9-F$5)+Projections_TL!$F$20*Projections_TL!$B$43)/2)/(1+$A9)^5-Historical!$G$24)/DCF!$B$18</f>
        <v>23.719167669722282</v>
      </c>
    </row>
    <row r="10" spans="1:8">
      <c r="A10" s="9">
        <v>0.17</v>
      </c>
      <c r="B10">
        <f>(Projections_TL!$B$33/(1+$A10)^1+Projections_TL!$C$33/(1+$A10)^2+Projections_TL!$D$33/(1+$A10)^3+Projections_TL!$E$33/(1+$A10)^4+Projections_TL!$F$33/(1+$A10)^5+((Projections_TL!$F$33*(1+B$5)/($A10-B$5)+Projections_TL!$F$20*Projections_TL!$B$43)/2)/(1+$A10)^5-Historical!$G$24)/DCF!$B$18</f>
        <v>21.151127120327384</v>
      </c>
      <c r="C10">
        <f>(Projections_TL!$B$33/(1+$A10)^1+Projections_TL!$C$33/(1+$A10)^2+Projections_TL!$D$33/(1+$A10)^3+Projections_TL!$E$33/(1+$A10)^4+Projections_TL!$F$33/(1+$A10)^5+((Projections_TL!$F$33*(1+C$5)/($A10-C$5)+Projections_TL!$F$20*Projections_TL!$B$43)/2)/(1+$A10)^5-Historical!$G$24)/DCF!$B$18</f>
        <v>21.353027922323346</v>
      </c>
      <c r="D10">
        <f>(Projections_TL!$B$33/(1+$A10)^1+Projections_TL!$C$33/(1+$A10)^2+Projections_TL!$D$33/(1+$A10)^3+Projections_TL!$E$33/(1+$A10)^4+Projections_TL!$F$33/(1+$A10)^5+((Projections_TL!$F$33*(1+D$5)/($A10-D$5)+Projections_TL!$F$20*Projections_TL!$B$43)/2)/(1+$A10)^5-Historical!$G$24)/DCF!$B$18</f>
        <v>21.568852917560417</v>
      </c>
      <c r="E10">
        <f>(Projections_TL!$B$33/(1+$A10)^1+Projections_TL!$C$33/(1+$A10)^2+Projections_TL!$D$33/(1+$A10)^3+Projections_TL!$E$33/(1+$A10)^4+Projections_TL!$F$33/(1+$A10)^5+((Projections_TL!$F$33*(1+E$5)/($A10-E$5)+Projections_TL!$F$20*Projections_TL!$B$43)/2)/(1+$A10)^5-Historical!$G$24)/DCF!$B$18</f>
        <v>21.800093983885848</v>
      </c>
      <c r="F10">
        <f>(Projections_TL!$B$33/(1+$A10)^1+Projections_TL!$C$33/(1+$A10)^2+Projections_TL!$D$33/(1+$A10)^3+Projections_TL!$E$33/(1+$A10)^4+Projections_TL!$F$33/(1+$A10)^5+((Projections_TL!$F$33*(1+F$5)/($A10-F$5)+Projections_TL!$F$20*Projections_TL!$B$43)/2)/(1+$A10)^5-Historical!$G$24)/DCF!$B$18</f>
        <v>22.048464018087227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AF9E-8ED9-BD48-812B-97C24D70768E}">
  <dimension ref="A1:P37"/>
  <sheetViews>
    <sheetView topLeftCell="A8" workbookViewId="0">
      <selection activeCell="E21" sqref="E21"/>
    </sheetView>
  </sheetViews>
  <sheetFormatPr baseColWidth="10" defaultRowHeight="15"/>
  <cols>
    <col min="1" max="1" width="23.83203125" customWidth="1"/>
    <col min="6" max="6" width="11.83203125" bestFit="1" customWidth="1"/>
  </cols>
  <sheetData>
    <row r="1" spans="1:16">
      <c r="A1" s="4" t="s">
        <v>262</v>
      </c>
      <c r="B1" s="4"/>
      <c r="C1" s="4"/>
      <c r="D1" s="4"/>
      <c r="E1" s="4"/>
      <c r="F1" s="4"/>
      <c r="G1" s="4"/>
      <c r="H1" s="4"/>
      <c r="I1" s="4"/>
    </row>
    <row r="2" spans="1:16">
      <c r="A2" s="20" t="s">
        <v>279</v>
      </c>
      <c r="B2" s="4"/>
      <c r="C2" s="4"/>
      <c r="D2" s="4"/>
      <c r="E2" s="4"/>
      <c r="F2" s="4"/>
      <c r="G2" s="4"/>
      <c r="H2" s="4"/>
      <c r="I2" s="4"/>
    </row>
    <row r="3" spans="1:16">
      <c r="A3" s="4"/>
      <c r="B3" s="4"/>
      <c r="C3" s="4"/>
      <c r="D3" s="4"/>
      <c r="E3" s="4"/>
      <c r="F3" s="4"/>
      <c r="G3" s="4"/>
      <c r="H3" s="4"/>
      <c r="I3" s="4"/>
    </row>
    <row r="4" spans="1:16" ht="16">
      <c r="A4" s="26" t="s">
        <v>263</v>
      </c>
      <c r="B4" s="26" t="s">
        <v>264</v>
      </c>
      <c r="C4" s="26" t="s">
        <v>265</v>
      </c>
      <c r="D4" s="26" t="s">
        <v>182</v>
      </c>
      <c r="E4" s="25" t="s">
        <v>266</v>
      </c>
      <c r="F4" s="26" t="s">
        <v>165</v>
      </c>
      <c r="G4" s="26" t="s">
        <v>162</v>
      </c>
      <c r="H4" s="26" t="s">
        <v>267</v>
      </c>
      <c r="I4" s="25" t="s">
        <v>268</v>
      </c>
      <c r="J4" s="4"/>
      <c r="K4" s="4"/>
      <c r="L4" s="4"/>
      <c r="M4" s="4"/>
      <c r="N4" s="4"/>
      <c r="O4" s="4"/>
      <c r="P4" s="4"/>
    </row>
    <row r="5" spans="1:16">
      <c r="A5" s="4" t="s">
        <v>269</v>
      </c>
      <c r="B5" s="4" t="s">
        <v>276</v>
      </c>
      <c r="C5" s="4">
        <v>30491</v>
      </c>
      <c r="D5" s="4">
        <v>3948</v>
      </c>
      <c r="E5" s="4">
        <f>C5+D5</f>
        <v>34439</v>
      </c>
      <c r="F5" s="4">
        <v>59565</v>
      </c>
      <c r="G5" s="4">
        <v>5968</v>
      </c>
      <c r="H5" s="29">
        <f>E5/G5</f>
        <v>5.7706099195710454</v>
      </c>
      <c r="I5" s="29">
        <f>E5/F5</f>
        <v>0.57817510282884244</v>
      </c>
      <c r="J5" s="4"/>
      <c r="K5" s="4"/>
      <c r="L5" s="4"/>
      <c r="M5" s="4"/>
      <c r="N5" s="4"/>
      <c r="O5" s="4"/>
      <c r="P5" s="4"/>
    </row>
    <row r="6" spans="1:16" ht="16">
      <c r="A6" s="27" t="s">
        <v>270</v>
      </c>
      <c r="B6" s="4" t="s">
        <v>277</v>
      </c>
      <c r="C6" s="4">
        <v>51480</v>
      </c>
      <c r="D6" s="4">
        <v>4640</v>
      </c>
      <c r="E6" s="4">
        <f t="shared" ref="E6:E7" si="0">C6+D6</f>
        <v>56120</v>
      </c>
      <c r="F6" s="4">
        <v>34160</v>
      </c>
      <c r="G6" s="4">
        <v>4990</v>
      </c>
      <c r="H6" s="29">
        <f t="shared" ref="H6:H7" si="1">E6/G6</f>
        <v>11.246492985971944</v>
      </c>
      <c r="I6" s="29">
        <f t="shared" ref="I6:I7" si="2">E6/F6</f>
        <v>1.6428571428571428</v>
      </c>
      <c r="J6" s="4"/>
      <c r="K6" s="4"/>
      <c r="L6" s="4"/>
      <c r="M6" s="4"/>
      <c r="N6" s="4"/>
      <c r="O6" s="4"/>
      <c r="P6" s="4"/>
    </row>
    <row r="7" spans="1:16" ht="16">
      <c r="A7" s="27" t="s">
        <v>271</v>
      </c>
      <c r="B7" s="4" t="s">
        <v>278</v>
      </c>
      <c r="C7" s="4">
        <v>42160</v>
      </c>
      <c r="D7" s="4">
        <v>7900</v>
      </c>
      <c r="E7" s="4">
        <f t="shared" si="0"/>
        <v>50060</v>
      </c>
      <c r="F7" s="4">
        <v>61352</v>
      </c>
      <c r="G7" s="4">
        <v>6541</v>
      </c>
      <c r="H7" s="29">
        <f t="shared" si="1"/>
        <v>7.653264026907201</v>
      </c>
      <c r="I7" s="29">
        <f t="shared" si="2"/>
        <v>0.81594732038075368</v>
      </c>
      <c r="J7" s="4"/>
      <c r="K7" s="4"/>
      <c r="L7" s="4"/>
      <c r="M7" s="4"/>
      <c r="N7" s="4"/>
      <c r="O7" s="4"/>
      <c r="P7" s="4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0" t="s">
        <v>272</v>
      </c>
      <c r="B9" s="4"/>
      <c r="C9" s="4"/>
      <c r="D9" s="4"/>
      <c r="E9" s="4"/>
      <c r="F9" s="4"/>
      <c r="G9" s="4"/>
      <c r="H9" s="29">
        <f>MEDIAN(H5:H7)</f>
        <v>7.653264026907201</v>
      </c>
      <c r="I9" s="29">
        <f>MEDIAN(I5:I7)</f>
        <v>0.81594732038075368</v>
      </c>
      <c r="J9" s="4"/>
      <c r="K9" s="4"/>
      <c r="L9" s="4"/>
      <c r="M9" s="4"/>
      <c r="N9" s="4"/>
      <c r="O9" s="4"/>
      <c r="P9" s="4"/>
    </row>
    <row r="10" spans="1:16">
      <c r="A10" s="20" t="s">
        <v>273</v>
      </c>
      <c r="B10" s="4"/>
      <c r="C10" s="4"/>
      <c r="D10" s="4"/>
      <c r="E10" s="4"/>
      <c r="F10" s="4"/>
      <c r="G10" s="4"/>
      <c r="H10" s="29">
        <f>AVERAGE(H5:H7)</f>
        <v>8.2234556441500644</v>
      </c>
      <c r="I10" s="29">
        <f>AVERAGE(I5:I7)</f>
        <v>1.0123265220222464</v>
      </c>
      <c r="J10" s="4"/>
      <c r="K10" s="4"/>
      <c r="L10" s="4"/>
      <c r="M10" s="4"/>
      <c r="N10" s="4"/>
      <c r="O10" s="4"/>
      <c r="P10" s="4"/>
    </row>
    <row r="11" spans="1:16">
      <c r="A11" s="2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20" t="s">
        <v>274</v>
      </c>
      <c r="B12" s="34" t="s">
        <v>276</v>
      </c>
      <c r="C12" s="4">
        <v>245840</v>
      </c>
      <c r="D12" s="30">
        <v>42800</v>
      </c>
      <c r="E12" s="30">
        <f>C12+D12</f>
        <v>288640</v>
      </c>
      <c r="F12" s="30">
        <v>208910</v>
      </c>
      <c r="G12" s="30">
        <v>20451</v>
      </c>
      <c r="H12" s="29">
        <f>E12/G12</f>
        <v>14.113735269668965</v>
      </c>
      <c r="I12" s="29">
        <f>E12/F12</f>
        <v>1.381647599444737</v>
      </c>
      <c r="J12" s="4"/>
      <c r="K12" s="4"/>
      <c r="L12" s="4"/>
      <c r="M12" s="4"/>
      <c r="N12" s="4"/>
      <c r="O12" s="4"/>
      <c r="P12" s="4"/>
    </row>
    <row r="13" spans="1:16">
      <c r="A13" s="20" t="s">
        <v>275</v>
      </c>
      <c r="B13" s="4"/>
      <c r="C13" s="4"/>
      <c r="D13" s="4"/>
      <c r="E13" s="4"/>
      <c r="F13" s="4"/>
      <c r="G13" s="4"/>
      <c r="H13" s="29">
        <f>H12/H9-1</f>
        <v>0.8441458729305773</v>
      </c>
      <c r="I13" s="29">
        <f>I12/I9-1</f>
        <v>0.69330490453722549</v>
      </c>
      <c r="J13" s="4"/>
      <c r="K13" s="4"/>
      <c r="L13" s="4"/>
      <c r="M13" s="4"/>
      <c r="N13" s="4"/>
      <c r="O13" s="4"/>
      <c r="P13" s="4"/>
    </row>
    <row r="14" spans="1:16" ht="17">
      <c r="A14" s="2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0" t="s">
        <v>280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>
      <c r="A16" s="20" t="s">
        <v>281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0" t="s">
        <v>282</v>
      </c>
      <c r="B17" s="31">
        <f>H9</f>
        <v>7.653264026907201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0" t="s">
        <v>283</v>
      </c>
      <c r="B18" s="32">
        <f>G12</f>
        <v>20451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0" t="s">
        <v>284</v>
      </c>
      <c r="B19" s="20">
        <f>B17*B18</f>
        <v>156516.90261427916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>
      <c r="A20" s="20" t="s">
        <v>254</v>
      </c>
      <c r="B20" s="30">
        <f>D12</f>
        <v>42800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>
      <c r="A21" s="20" t="s">
        <v>285</v>
      </c>
      <c r="B21" s="32">
        <f>B19-B20</f>
        <v>113716.90261427916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0" t="s">
        <v>286</v>
      </c>
      <c r="B22" s="20">
        <v>7000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0" t="s">
        <v>287</v>
      </c>
      <c r="B23" s="20">
        <f>B21/B22</f>
        <v>16.245271802039881</v>
      </c>
    </row>
    <row r="24" spans="1:16">
      <c r="A24" s="4"/>
      <c r="B24" s="4"/>
    </row>
    <row r="25" spans="1:16">
      <c r="A25" s="20" t="s">
        <v>288</v>
      </c>
      <c r="B25" s="4"/>
    </row>
    <row r="26" spans="1:16">
      <c r="A26" s="20" t="s">
        <v>289</v>
      </c>
      <c r="B26" s="31">
        <f>I9</f>
        <v>0.81594732038075368</v>
      </c>
    </row>
    <row r="27" spans="1:16">
      <c r="A27" s="20" t="s">
        <v>290</v>
      </c>
      <c r="B27" s="32">
        <f>F12</f>
        <v>208910</v>
      </c>
    </row>
    <row r="28" spans="1:16">
      <c r="A28" s="20" t="s">
        <v>284</v>
      </c>
      <c r="B28" s="20">
        <f>B26*B27</f>
        <v>170459.55470074326</v>
      </c>
    </row>
    <row r="29" spans="1:16">
      <c r="A29" s="20" t="s">
        <v>254</v>
      </c>
      <c r="B29" s="32">
        <f>D12</f>
        <v>42800</v>
      </c>
    </row>
    <row r="30" spans="1:16">
      <c r="A30" s="20" t="s">
        <v>285</v>
      </c>
      <c r="B30" s="32">
        <f>B28-B29</f>
        <v>127659.55470074326</v>
      </c>
    </row>
    <row r="31" spans="1:16">
      <c r="A31" s="20" t="s">
        <v>286</v>
      </c>
      <c r="B31" s="4">
        <v>7000</v>
      </c>
    </row>
    <row r="32" spans="1:16">
      <c r="A32" s="20" t="s">
        <v>287</v>
      </c>
      <c r="B32" s="20">
        <f>B30/B31</f>
        <v>18.237079242963322</v>
      </c>
    </row>
    <row r="33" spans="1:2">
      <c r="A33" s="4"/>
      <c r="B33" s="4"/>
    </row>
    <row r="34" spans="1:2">
      <c r="A34" s="20" t="s">
        <v>291</v>
      </c>
      <c r="B34" s="4"/>
    </row>
    <row r="35" spans="1:2">
      <c r="A35" s="20" t="s">
        <v>292</v>
      </c>
      <c r="B35" s="20">
        <f>AVERAGE(B23,B32)</f>
        <v>17.241175522501599</v>
      </c>
    </row>
    <row r="36" spans="1:2">
      <c r="A36" s="20" t="s">
        <v>293</v>
      </c>
      <c r="B36" s="20">
        <f>DCF!B20</f>
        <v>35.119999999999997</v>
      </c>
    </row>
    <row r="37" spans="1:2">
      <c r="A37" s="20" t="s">
        <v>259</v>
      </c>
      <c r="B37" s="33">
        <f>B35/B36-1</f>
        <v>-0.50907814571464693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isyatirim</vt:lpstr>
      <vt:lpstr>Historical</vt:lpstr>
      <vt:lpstr>Projections_TL</vt:lpstr>
      <vt:lpstr>WACC</vt:lpstr>
      <vt:lpstr>DCF</vt:lpstr>
      <vt:lpstr>Sensitivity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Alihan Arı</cp:lastModifiedBy>
  <dcterms:modified xsi:type="dcterms:W3CDTF">2026-05-05T11:54:11Z</dcterms:modified>
</cp:coreProperties>
</file>